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保存位置\Excel\默认本地文件位置\"/>
    </mc:Choice>
  </mc:AlternateContent>
  <xr:revisionPtr revIDLastSave="0" documentId="8_{F27A3D3D-DFBC-4415-809C-B2200AF06198}" xr6:coauthVersionLast="47" xr6:coauthVersionMax="47" xr10:uidLastSave="{00000000-0000-0000-0000-000000000000}"/>
  <bookViews>
    <workbookView xWindow="1152" yWindow="1152" windowWidth="12228" windowHeight="10116" xr2:uid="{E2862BE9-3CB4-4A24-89F7-23BC704F8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4" i="1" l="1" a="1"/>
  <c r="F184" i="1" s="1"/>
  <c r="D183" i="1"/>
  <c r="D183" i="1" a="1"/>
  <c r="F183" i="1" s="1"/>
  <c r="C171" i="1" a="1"/>
  <c r="C171" i="1" s="1"/>
  <c r="C170" i="1" a="1"/>
  <c r="C170" i="1" s="1"/>
  <c r="C169" i="1" a="1"/>
  <c r="C169" i="1" s="1"/>
  <c r="C168" i="1" a="1"/>
  <c r="C168" i="1" s="1"/>
  <c r="C167" i="1" a="1"/>
  <c r="C167" i="1" s="1"/>
  <c r="C166" i="1" a="1"/>
  <c r="C166" i="1" s="1"/>
  <c r="C165" i="1" a="1"/>
  <c r="C165" i="1" s="1"/>
  <c r="C164" i="1" a="1"/>
  <c r="C164" i="1" s="1"/>
  <c r="B157" i="1"/>
  <c r="C155" i="1"/>
  <c r="C154" i="1"/>
  <c r="C153" i="1"/>
  <c r="C152" i="1"/>
  <c r="C151" i="1"/>
  <c r="C150" i="1"/>
  <c r="D141" i="1"/>
  <c r="D140" i="1"/>
  <c r="D139" i="1"/>
  <c r="D138" i="1"/>
  <c r="D137" i="1"/>
  <c r="D136" i="1"/>
  <c r="C92" i="1"/>
  <c r="C91" i="1"/>
  <c r="C90" i="1"/>
  <c r="C89" i="1"/>
  <c r="C88" i="1"/>
  <c r="G78" i="1"/>
  <c r="G76" i="1"/>
  <c r="G75" i="1"/>
  <c r="G74" i="1"/>
  <c r="D67" i="1"/>
  <c r="C64" i="1"/>
  <c r="C62" i="1"/>
  <c r="C61" i="1"/>
  <c r="K53" i="1"/>
  <c r="K52" i="1"/>
  <c r="K50" i="1"/>
  <c r="K49" i="1"/>
  <c r="K48" i="1"/>
  <c r="K47" i="1"/>
  <c r="K46" i="1"/>
  <c r="K45" i="1"/>
  <c r="K41" i="1"/>
  <c r="K40" i="1"/>
  <c r="K39" i="1"/>
  <c r="K38" i="1"/>
  <c r="K37" i="1"/>
  <c r="K36" i="1"/>
  <c r="K35" i="1"/>
  <c r="K34" i="1"/>
  <c r="K33" i="1"/>
  <c r="K28" i="1"/>
  <c r="K27" i="1"/>
  <c r="K26" i="1"/>
  <c r="K25" i="1"/>
  <c r="K24" i="1"/>
  <c r="K23" i="1"/>
  <c r="K21" i="1"/>
  <c r="K20" i="1"/>
  <c r="K16" i="1"/>
  <c r="K15" i="1"/>
  <c r="K14" i="1"/>
  <c r="K13" i="1"/>
  <c r="K12" i="1"/>
  <c r="K11" i="1"/>
  <c r="K10" i="1"/>
  <c r="K9" i="1"/>
  <c r="K8" i="1"/>
  <c r="K7" i="1"/>
  <c r="K6" i="1"/>
  <c r="G184" i="1"/>
  <c r="L50" i="1"/>
  <c r="L39" i="1"/>
  <c r="L27" i="1"/>
  <c r="L15" i="1"/>
  <c r="L7" i="1"/>
  <c r="D150" i="1"/>
  <c r="L49" i="1"/>
  <c r="L38" i="1"/>
  <c r="L26" i="1"/>
  <c r="L14" i="1"/>
  <c r="L6" i="1"/>
  <c r="G183" i="1"/>
  <c r="L47" i="1"/>
  <c r="L36" i="1"/>
  <c r="L24" i="1"/>
  <c r="L12" i="1"/>
  <c r="H74" i="1"/>
  <c r="L48" i="1"/>
  <c r="L13" i="1"/>
  <c r="E67" i="1"/>
  <c r="D164" i="1"/>
  <c r="E136" i="1"/>
  <c r="E62" i="1"/>
  <c r="L46" i="1"/>
  <c r="L35" i="1"/>
  <c r="L23" i="1"/>
  <c r="L11" i="1"/>
  <c r="E61" i="1"/>
  <c r="L45" i="1"/>
  <c r="L34" i="1"/>
  <c r="L21" i="1"/>
  <c r="L10" i="1"/>
  <c r="L37" i="1"/>
  <c r="L25" i="1"/>
  <c r="L53" i="1"/>
  <c r="L41" i="1"/>
  <c r="L33" i="1"/>
  <c r="L20" i="1"/>
  <c r="L9" i="1"/>
  <c r="D88" i="1"/>
  <c r="L52" i="1"/>
  <c r="L40" i="1"/>
  <c r="L28" i="1"/>
  <c r="L16" i="1"/>
  <c r="L8" i="1"/>
  <c r="E183" i="1" l="1"/>
  <c r="D184" i="1"/>
  <c r="E184" i="1"/>
</calcChain>
</file>

<file path=xl/sharedStrings.xml><?xml version="1.0" encoding="utf-8"?>
<sst xmlns="http://schemas.openxmlformats.org/spreadsheetml/2006/main" count="219" uniqueCount="194">
  <si>
    <t>经典用法</t>
    <phoneticPr fontId="4" type="noConversion"/>
  </si>
  <si>
    <t>单元格显示格式一览表</t>
    <phoneticPr fontId="4" type="noConversion"/>
  </si>
  <si>
    <t>数值</t>
    <phoneticPr fontId="4" type="noConversion"/>
  </si>
  <si>
    <t>格式符号</t>
    <phoneticPr fontId="4" type="noConversion"/>
  </si>
  <si>
    <t>格式符号的含义</t>
    <phoneticPr fontId="4" type="noConversion"/>
  </si>
  <si>
    <t>公式</t>
    <phoneticPr fontId="4" type="noConversion"/>
  </si>
  <si>
    <t>公式显示</t>
  </si>
  <si>
    <t>#</t>
    <phoneticPr fontId="4" type="noConversion"/>
  </si>
  <si>
    <t>显示有效位数.当数值的位数少于格式"#"时,无需保持与位数格式一致,数值按原样显示.不显示多余的0.如是小数,不足显示位数的数值被四舍五入.例:对123.456设置格式"####.##"时→123.46</t>
    <phoneticPr fontId="4" type="noConversion"/>
  </si>
  <si>
    <t>当数值的位数少于格式的0时,不足位数显示0.如果是小数,不足显示位数的数值被四舍五入.例:对123.456设置格式"0000.00"时→0123.46</t>
    <phoneticPr fontId="4" type="noConversion"/>
  </si>
  <si>
    <t>?</t>
    <phoneticPr fontId="4" type="noConversion"/>
  </si>
  <si>
    <t>为了用固定宽度字体对齐位数不同的小数而对准小数点的位置.如果小数不足显示位数的数值被四舍五入.例:对12.3456设置格式"???.???"时→012.346</t>
    <phoneticPr fontId="4" type="noConversion"/>
  </si>
  <si>
    <t>.(句号)</t>
    <phoneticPr fontId="4" type="noConversion"/>
  </si>
  <si>
    <t>表示小数点.例:对12345设置格式"###.000"时→12345.000</t>
    <phoneticPr fontId="4" type="noConversion"/>
  </si>
  <si>
    <t>,(逗号)</t>
    <phoneticPr fontId="4" type="noConversion"/>
  </si>
  <si>
    <t>附加千位分隔符.例:12345设置格式"###,###"时→12,345</t>
    <phoneticPr fontId="4" type="noConversion"/>
  </si>
  <si>
    <t>在数值末尾附加上一个逗号时,则用千单位显示,不足显示位数的数值被四舍五入.例:对12345设置格式"0.00千元"时→12.35千元.</t>
    <phoneticPr fontId="4" type="noConversion"/>
  </si>
  <si>
    <t>在数值末尾附加上两个逗号时,则用百万单位显示,不足显示位数的数值被四舍五入.例:对12345设置格式"0.00,,百万元"时→12.35百万元.</t>
    <phoneticPr fontId="4" type="noConversion"/>
  </si>
  <si>
    <t>%</t>
    <phoneticPr fontId="4" type="noConversion"/>
  </si>
  <si>
    <t>设置为百分比显示.例:对0.5设置格式"0%"→"50%.</t>
    <phoneticPr fontId="4" type="noConversion"/>
  </si>
  <si>
    <t>￥</t>
    <phoneticPr fontId="4" type="noConversion"/>
  </si>
  <si>
    <t>附加￥符号.例:12345设置格式"￥#####"时→￥12345.</t>
    <phoneticPr fontId="4" type="noConversion"/>
  </si>
  <si>
    <t>$</t>
    <phoneticPr fontId="4" type="noConversion"/>
  </si>
  <si>
    <t>附加$符号.例:12345设置格式"$#####"时→$12346.</t>
    <phoneticPr fontId="4" type="noConversion"/>
  </si>
  <si>
    <t>/</t>
    <phoneticPr fontId="4" type="noConversion"/>
  </si>
  <si>
    <t>表示分数.例:对0.5设置格式"##/##"→1/2.</t>
    <phoneticPr fontId="4" type="noConversion"/>
  </si>
  <si>
    <t>时刻/时间</t>
    <phoneticPr fontId="4" type="noConversion"/>
  </si>
  <si>
    <t>hh</t>
    <phoneticPr fontId="4" type="noConversion"/>
  </si>
  <si>
    <t>表示时分秒的"时"的部分.不足两位时在第一位上补充0.例:对8:30:06设置格式"hh"→06.</t>
    <phoneticPr fontId="4" type="noConversion"/>
  </si>
  <si>
    <t>h</t>
    <phoneticPr fontId="4" type="noConversion"/>
  </si>
  <si>
    <t>表示时分秒的"时"的部分.不足两位时在第一位上补充0.例:对8:30:06设置格式"h"→8.</t>
    <phoneticPr fontId="4" type="noConversion"/>
  </si>
  <si>
    <t>mm</t>
    <phoneticPr fontId="4" type="noConversion"/>
  </si>
  <si>
    <t>表示时分秒的"分"的部分.不足两位时在第一位上补充0.只有和时分秒的格式符号一起使用时才被视为"分".其他则被视为日期的"月".例:对8:30:06设置格式"mm"→8:30.</t>
    <phoneticPr fontId="4" type="noConversion"/>
  </si>
  <si>
    <t>公式结果与资料中的内容有不符,原因查找中.</t>
    <phoneticPr fontId="4" type="noConversion"/>
  </si>
  <si>
    <t>ss</t>
    <phoneticPr fontId="4" type="noConversion"/>
  </si>
  <si>
    <t>表示时分秒的"秒"的部分.不足两位时在第一位上补充0.例:对8:30:06设置格式"ss"→06.</t>
    <phoneticPr fontId="4" type="noConversion"/>
  </si>
  <si>
    <t>s</t>
    <phoneticPr fontId="4" type="noConversion"/>
  </si>
  <si>
    <t>表示时分秒的"秒"的部分.例:对8:30:06设置格式"s"→6.</t>
    <phoneticPr fontId="4" type="noConversion"/>
  </si>
  <si>
    <t>AM/PM</t>
    <phoneticPr fontId="4" type="noConversion"/>
  </si>
  <si>
    <t>凌晨0点至中午前附加"AM",中午至凌晨0点前附加"PM".例:对8:30:06设置格式"h:m AM/PM"→8:30AM.</t>
    <phoneticPr fontId="4" type="noConversion"/>
  </si>
  <si>
    <t>[]</t>
    <phoneticPr fontId="4" type="noConversion"/>
  </si>
  <si>
    <t>表示经历的时间.[h]表示小时,[mm]表示分钟,[ss]表示秒钟.例:8:30:06设置格式"[mm]:ss"→510:06.</t>
    <phoneticPr fontId="4" type="noConversion"/>
  </si>
  <si>
    <t>yyyy</t>
    <phoneticPr fontId="4" type="noConversion"/>
  </si>
  <si>
    <t>用四位数表示公历纪年.例:对2012-10-18设置格式"yyyy"→2012.</t>
    <phoneticPr fontId="4" type="noConversion"/>
  </si>
  <si>
    <t>yy</t>
    <phoneticPr fontId="4" type="noConversion"/>
  </si>
  <si>
    <t>用后两位数表示公历纪年.例:对2012-10-18设置格式"yy"→12.</t>
    <phoneticPr fontId="4" type="noConversion"/>
  </si>
  <si>
    <t>e</t>
    <phoneticPr fontId="4" type="noConversion"/>
  </si>
  <si>
    <t>表示日本历纪年.(小日本的例题略)</t>
    <phoneticPr fontId="4" type="noConversion"/>
  </si>
  <si>
    <t>ggg</t>
    <phoneticPr fontId="4" type="noConversion"/>
  </si>
  <si>
    <t>表示日本历纪年号.(小日本的例题略)</t>
    <phoneticPr fontId="4" type="noConversion"/>
  </si>
  <si>
    <t>gg</t>
    <phoneticPr fontId="4" type="noConversion"/>
  </si>
  <si>
    <t>用数值表示月份.(小日本的例题略)</t>
    <phoneticPr fontId="4" type="noConversion"/>
  </si>
  <si>
    <t>g</t>
    <phoneticPr fontId="4" type="noConversion"/>
  </si>
  <si>
    <t>用英文缩写表示日本历的年号.(小日本的例题略)</t>
    <phoneticPr fontId="4" type="noConversion"/>
  </si>
  <si>
    <t>m</t>
    <phoneticPr fontId="4" type="noConversion"/>
  </si>
  <si>
    <t>用数值表示月份.例:对2014-10-18设置格式"m"→10.</t>
  </si>
  <si>
    <t>mmmm</t>
    <phoneticPr fontId="4" type="noConversion"/>
  </si>
  <si>
    <t>用英文表示月份.例:对2014-10-18设置格式"mmmm"→October.</t>
  </si>
  <si>
    <t>mmm</t>
    <phoneticPr fontId="4" type="noConversion"/>
  </si>
  <si>
    <t>用英文缩写表示月份.例:对2014-10-18设置格式"mmmm"→Oct.</t>
  </si>
  <si>
    <t>dd</t>
    <phoneticPr fontId="4" type="noConversion"/>
  </si>
  <si>
    <t>用两位数的数值表示日期.不足两位数时在第一位加0.例:对2014-10-2设置格式"dd"→02.</t>
  </si>
  <si>
    <t>d</t>
    <phoneticPr fontId="4" type="noConversion"/>
  </si>
  <si>
    <t>用数值表示日期.例:对2014-10-2设置格式"d"→2.</t>
  </si>
  <si>
    <t>aaaa</t>
    <phoneticPr fontId="4" type="noConversion"/>
  </si>
  <si>
    <t>表示星期.例:对2014-10-18设置格式"aaaa"→星期四.</t>
  </si>
  <si>
    <t>aaa</t>
    <phoneticPr fontId="4" type="noConversion"/>
  </si>
  <si>
    <t>用缩写方式表示星期.例:对2014-10-18设置格式"aaa"→周四.</t>
  </si>
  <si>
    <t>dddd</t>
    <phoneticPr fontId="4" type="noConversion"/>
  </si>
  <si>
    <t>用英语表示星期.例:对2014-10-18设置格式"dddd"→Thursday.</t>
  </si>
  <si>
    <t>ddd</t>
    <phoneticPr fontId="4" type="noConversion"/>
  </si>
  <si>
    <t>用英语缩写方式表示星期.例:对2014-10-18设置格式"ddd"→Thu.</t>
  </si>
  <si>
    <t>其他</t>
    <phoneticPr fontId="4" type="noConversion"/>
  </si>
  <si>
    <t>G/通用格式</t>
    <phoneticPr fontId="4" type="noConversion"/>
  </si>
  <si>
    <t>输入的字符按原样显示.例:对123450设置格式"G/通用格式"→123450.</t>
    <phoneticPr fontId="4" type="noConversion"/>
  </si>
  <si>
    <t>[DBNum1]</t>
    <phoneticPr fontId="4" type="noConversion"/>
  </si>
  <si>
    <t>用小写汉字数字(一、二)和位(十、百)表示.例:对123450设置格式"[DBNum1]"→一十二万三千四百五十.</t>
    <phoneticPr fontId="4" type="noConversion"/>
  </si>
  <si>
    <t>[DBNum1]###0</t>
    <phoneticPr fontId="4" type="noConversion"/>
  </si>
  <si>
    <t>用小写汉字数字(一、二)表示.例:对123450设置格式"[DBNum1]###0"→一二三四五○.</t>
    <phoneticPr fontId="4" type="noConversion"/>
  </si>
  <si>
    <t>[DBNum2]</t>
    <phoneticPr fontId="4" type="noConversion"/>
  </si>
  <si>
    <t>用大写数字(壹、贰)和位(十、百)表示.例:对123450设置格式"[DBNum2]"→壹拾贰万叁仟肆佰伍拾.</t>
    <phoneticPr fontId="4" type="noConversion"/>
  </si>
  <si>
    <t>[DBNum2]###0</t>
    <phoneticPr fontId="4" type="noConversion"/>
  </si>
  <si>
    <t>用大写数字(壹、贰)表示.例:对123450设置格式"[DBNum2]###0"→壹贰叁肆伍零.</t>
    <phoneticPr fontId="4" type="noConversion"/>
  </si>
  <si>
    <t>[DBNum3]</t>
    <phoneticPr fontId="4" type="noConversion"/>
  </si>
  <si>
    <t>用全角数字(１、２)和位(十、百)表示.例:对123450设置格式"[DBNum3]"→１十２万３千４百５十.</t>
    <phoneticPr fontId="4" type="noConversion"/>
  </si>
  <si>
    <t>[条件]格式</t>
    <phoneticPr fontId="4" type="noConversion"/>
  </si>
  <si>
    <t>可以指定用";(分号)区分的两个条件和格式.全用TEXT函数时,可以在第二个";"之后指定公式或文本的格式,在第三个";'之后只能指定文本格式.例:对10设置格式"[0]"负";[=0]"零";"正""→正.</t>
    <phoneticPr fontId="4" type="noConversion"/>
  </si>
  <si>
    <t>公式结果与资料中的内容有不符,原因查找中.</t>
  </si>
  <si>
    <t>;(分号)</t>
    <phoneticPr fontId="4" type="noConversion"/>
  </si>
  <si>
    <t>以[正;负]的格式指定正负的显示格式.例:对12345设置格式"##;(##)"→(12345).</t>
    <phoneticPr fontId="4" type="noConversion"/>
  </si>
  <si>
    <t>_(下划线)</t>
    <phoneticPr fontId="4" type="noConversion"/>
  </si>
  <si>
    <t>空出"_"之后的字符大小的间隔.用来对齐位数.例:对12345设置格式"#,###_-$;####-$"→12,345 $.</t>
    <phoneticPr fontId="4" type="noConversion"/>
  </si>
  <si>
    <t>例2</t>
    <phoneticPr fontId="4" type="noConversion"/>
  </si>
  <si>
    <t>日期转换正常显示</t>
    <phoneticPr fontId="4" type="noConversion"/>
  </si>
  <si>
    <t>有时我们拿到的日期会是一串数字,在使用时需要转换成标准日期.</t>
    <phoneticPr fontId="4" type="noConversion"/>
  </si>
  <si>
    <t>非标准日期</t>
    <phoneticPr fontId="4" type="noConversion"/>
  </si>
  <si>
    <t>标准日期</t>
    <phoneticPr fontId="4" type="noConversion"/>
  </si>
  <si>
    <t>公式显示</t>
    <phoneticPr fontId="4" type="noConversion"/>
  </si>
  <si>
    <t>关于为什么公式后面要"*1.</t>
    <phoneticPr fontId="4" type="noConversion"/>
  </si>
  <si>
    <t>从上面的单元格可以看到,一个靠右,一个靠左,没有靠左靠右设置过的单元格内,只要是靠右显示的,内容一定是数值.靠左显示的一定是文本,</t>
    <phoneticPr fontId="4" type="noConversion"/>
  </si>
  <si>
    <t>时间其实是数值的另一类显示方式,为了我们都看的明白,就象下面的例子.他们是想同的</t>
    <phoneticPr fontId="4" type="noConversion"/>
  </si>
  <si>
    <t>从IF公式判断上能看出两者是一样的,只是显示方式的差异.从TEXT函数得到的是文本,所以后面"*1",要用公式强制转换成数字.</t>
    <phoneticPr fontId="4" type="noConversion"/>
  </si>
  <si>
    <t>例3</t>
    <phoneticPr fontId="4" type="noConversion"/>
  </si>
  <si>
    <t>计算迟到早退时间</t>
    <phoneticPr fontId="4" type="noConversion"/>
  </si>
  <si>
    <t>姓名</t>
    <phoneticPr fontId="4" type="noConversion"/>
  </si>
  <si>
    <t>上班时间</t>
    <phoneticPr fontId="4" type="noConversion"/>
  </si>
  <si>
    <t>到岗时间</t>
    <phoneticPr fontId="4" type="noConversion"/>
  </si>
  <si>
    <t>结果</t>
    <phoneticPr fontId="4" type="noConversion"/>
  </si>
  <si>
    <t>张三</t>
    <phoneticPr fontId="4" type="noConversion"/>
  </si>
  <si>
    <t>李四</t>
    <phoneticPr fontId="4" type="noConversion"/>
  </si>
  <si>
    <t>解释</t>
    <phoneticPr fontId="4" type="noConversion"/>
  </si>
  <si>
    <t>王五</t>
    <phoneticPr fontId="4" type="noConversion"/>
  </si>
  <si>
    <t>TEXT函数的第二参数使用了两段格式代码，分号前的h:mm:ss对应正数应用的格式，h:mm:ss就是“时:分:秒”.</t>
  </si>
  <si>
    <t>调用电脑系统时间</t>
    <phoneticPr fontId="4" type="noConversion"/>
  </si>
  <si>
    <t>分号后的“超时h:mm:ss”对应负数应用的格式，就是在“时分秒”前面加上“超时”字样.</t>
  </si>
  <si>
    <t>赵六</t>
    <phoneticPr fontId="4" type="noConversion"/>
  </si>
  <si>
    <t>注:这里显示"#VALUE!"不能计算,是因为本文件设置的时间不是1904时期系统,学习与使用时您改下设置就行.</t>
  </si>
  <si>
    <t xml:space="preserve">默认情况下,Excel是不支持负时间或者是负日期,所以当E列的时间晚于当前时间时,二者相减为负数,公式结果就出现问题了.
</t>
  </si>
  <si>
    <t>Excel里有一个能处理负日期和负时间的设置,打开就可以.
先依次单击 【文件】→ 【选项】,打开【Excel选项】对话框.
再切换到【高级】选项卡下,勾选【使用1904日期系统】,单击【确定】关闭对话框.</t>
  </si>
  <si>
    <t>例4</t>
    <phoneticPr fontId="4" type="noConversion"/>
  </si>
  <si>
    <t>取整数,其余为 0 .</t>
    <phoneticPr fontId="4" type="noConversion"/>
  </si>
  <si>
    <t>原值</t>
    <phoneticPr fontId="4" type="noConversion"/>
  </si>
  <si>
    <t>正数显示为正数，负数显示为0, 0不变。</t>
    <phoneticPr fontId="4" type="noConversion"/>
  </si>
  <si>
    <t>这里是自定义格式的写法,意思是正数和0正常显示,负数强制显示为0而不显示负数.具体这个格式比较很复杂,大概说一下原理：</t>
    <phoneticPr fontId="4" type="noConversion"/>
  </si>
  <si>
    <t>通过3个分号,把引号里面的空白分成4段,分别代表的内容是"正数;负数;零值;文本",然后在不同的区段这代码,就能限制不同的内容格式.比如在正数那里写,就可以只对正数的格式产生作用,以此类推.如果2个分号,就分成3段,分别是"正数;负数;零值文本"；2个分号,分别是"正数零值;负数文本".</t>
    <phoneticPr fontId="4" type="noConversion"/>
  </si>
  <si>
    <t>作者：Excel归故乡</t>
  </si>
  <si>
    <t>链接：https://www.zhihu.com/question/458368964/answer/1875386644</t>
  </si>
  <si>
    <t>来源：知乎</t>
  </si>
  <si>
    <t>著作权归作者所有.商业转载请联系作者获得授权,非商业转载请注明出处.</t>
    <phoneticPr fontId="4" type="noConversion"/>
  </si>
  <si>
    <t>TEXT函数个性介绍</t>
    <phoneticPr fontId="4" type="noConversion"/>
  </si>
  <si>
    <t>TEXT函数是使用频率非常高的文本函数</t>
    <phoneticPr fontId="4" type="noConversion"/>
  </si>
  <si>
    <t xml:space="preserve"> TA虽然函数的基本语法十分简单,但是由于它的参数规则变化多端，能够演变出十分精妙的应用，是字符处理函数中少有的几个具有丰富想象力的函数之一。</t>
    <phoneticPr fontId="4" type="noConversion"/>
  </si>
  <si>
    <t>TEXT(value, format text)</t>
  </si>
  <si>
    <t>参数value可以是数值型也可以是文本型数字，参数format text用于指定格式代码，与单元格数字格式中的大部分代码都基本相同。</t>
    <phoneticPr fontId="4" type="noConversion"/>
  </si>
  <si>
    <t>有少部分代码仅适用于自定义格式，不能在TEXT函数中使用。</t>
  </si>
  <si>
    <t>例如: TEXT函数无法使用星号(*)来实现重复某个字符以填满单元格的效果。同时也无法实现以某种颜色显示数值的效果。</t>
    <phoneticPr fontId="4" type="noConversion"/>
  </si>
  <si>
    <t>除此之外,设置单元格格式与TEXT函数还有以下区别:</t>
  </si>
  <si>
    <t>①设置单元格的格式，仅仅是数字显示外观的改变,实质仍然是数值本身,不影响进一步的汇总计算， 即得到的是显示的效果。</t>
    <phoneticPr fontId="4" type="noConversion"/>
  </si>
  <si>
    <t>②使用TEXT函数可以将数值转换为带格式的文本,其实质已经是文本,不再具有数值的特性，即得到的是实际的效果。</t>
    <phoneticPr fontId="4" type="noConversion"/>
  </si>
  <si>
    <t>了解TEXT函数的格式代码.</t>
  </si>
  <si>
    <t>与自定义格式代码类似，TEXT函数的格式代码也分为4个条件区段,各区段之间用半角分号间隔，默认情况下，这四个区段的定义为:</t>
    <phoneticPr fontId="4" type="noConversion"/>
  </si>
  <si>
    <t>[01;[&lt;0);(=O):[文本]</t>
  </si>
  <si>
    <t>在实际使用中，可以根据需要省略TEXT函数第二参数的部分条件区段，条件含义也会发生相应变化。</t>
    <phoneticPr fontId="4" type="noConversion"/>
  </si>
  <si>
    <t>如果使用三个条件区段，其含义为:</t>
  </si>
  <si>
    <t>[&gt;0];[&lt;0];[=O]</t>
  </si>
  <si>
    <t>如果使用两个条件区段，含义为:</t>
  </si>
  <si>
    <t>[&gt;=};[&lt;0]</t>
  </si>
  <si>
    <t>除了以上默认以大于或等于0为判断条件的区段之外, TEXT函数还可以使用自定义的条件，自定义条件的四区段可以表示为:</t>
    <phoneticPr fontId="4" type="noConversion"/>
  </si>
  <si>
    <t>[条件1][条件2];[不满足条件的其他部分];[文本]</t>
  </si>
  <si>
    <t>自定义条件的三区段可以表示为: .</t>
  </si>
  <si>
    <t>[条件1]:[条件2];[不满足条件的其他部分]</t>
  </si>
  <si>
    <t>自定义条件的两区段可以表示为:</t>
  </si>
  <si>
    <t>[条件]:不满足条件]</t>
  </si>
  <si>
    <t>TEXT函数的第二参还可以通过&amp;符号添加变 量或是公式运算结果,构造出符合代码格式的文本字符串，使TEXT函数具有动态的第二-参数。</t>
    <phoneticPr fontId="4" type="noConversion"/>
  </si>
  <si>
    <t>举例1</t>
    <phoneticPr fontId="4" type="noConversion"/>
  </si>
  <si>
    <t>下表展示的是某单位员工考核表的部分内容。</t>
    <phoneticPr fontId="4" type="noConversion"/>
  </si>
  <si>
    <t>需要根据考核分数进行评定，85分以上为良好，76分至85分为合格,于等于75分则不合格。</t>
    <phoneticPr fontId="4" type="noConversion"/>
  </si>
  <si>
    <t>姓名</t>
  </si>
  <si>
    <t>考核分数</t>
    <phoneticPr fontId="4" type="noConversion"/>
  </si>
  <si>
    <t>成绩考评</t>
    <phoneticPr fontId="4" type="noConversion"/>
  </si>
  <si>
    <t>孙七</t>
    <phoneticPr fontId="4" type="noConversion"/>
  </si>
  <si>
    <t>周八</t>
    <phoneticPr fontId="4" type="noConversion"/>
  </si>
  <si>
    <t>公式中使用的是包含自定义条件的三区段格式代码。</t>
  </si>
  <si>
    <t>TEXT格式代码有区段限制，当判断区间较多时,可选择IF函数或LOOKUP函数等完</t>
  </si>
  <si>
    <t>举例2</t>
    <phoneticPr fontId="4" type="noConversion"/>
  </si>
  <si>
    <t>如下图所示需要将A列的日期格式转换为中文格式的月份。</t>
  </si>
  <si>
    <t>日期</t>
    <phoneticPr fontId="4" type="noConversion"/>
  </si>
  <si>
    <t>中文月份</t>
  </si>
  <si>
    <t>格式代码"'m” 用于提取A2单元格中的月份，再使用格式代码[DBnum1]将其转换为中文小写数字格式.</t>
    <phoneticPr fontId="4" type="noConversion"/>
  </si>
  <si>
    <t>举例3</t>
    <phoneticPr fontId="4" type="noConversion"/>
  </si>
  <si>
    <t>如下表所示，需要将A列的中文小写数字转换为数值。</t>
    <phoneticPr fontId="4" type="noConversion"/>
  </si>
  <si>
    <t>中文小写</t>
    <phoneticPr fontId="4" type="noConversion"/>
  </si>
  <si>
    <t>数值</t>
  </si>
  <si>
    <t>八十八</t>
  </si>
  <si>
    <t>二百一十六</t>
    <phoneticPr fontId="4" type="noConversion"/>
  </si>
  <si>
    <t>四十八</t>
  </si>
  <si>
    <t>三千四百二十一</t>
    <phoneticPr fontId="4" type="noConversion"/>
  </si>
  <si>
    <t>一百二十三</t>
    <phoneticPr fontId="4" type="noConversion"/>
  </si>
  <si>
    <t>一十</t>
    <phoneticPr fontId="4" type="noConversion"/>
  </si>
  <si>
    <t>一百</t>
    <phoneticPr fontId="4" type="noConversion"/>
  </si>
  <si>
    <t>一千</t>
    <phoneticPr fontId="4" type="noConversion"/>
  </si>
  <si>
    <t>C176单元格输入以下数组公式，按组合键。</t>
    <phoneticPr fontId="4" type="noConversion"/>
  </si>
  <si>
    <t>简单说一下公式的意思:</t>
  </si>
  <si>
    <t>ROW($1:$9999)部分,用于生成1 ~999的自然数序列。</t>
    <phoneticPr fontId="4" type="noConversion"/>
  </si>
  <si>
    <t>TEXT函数使用格式代码[DBnum1]将其全部转换为中文小写格式，再由MATCH函数从中精确查找C176单元格字符所处的位置，完成从中文大写到数值的转换。</t>
    <phoneticPr fontId="4" type="noConversion"/>
  </si>
  <si>
    <t>公式适用于一至九千九百九十九的整数中文小写数字转换，可根据需要调整ROW函数的参数范围。</t>
    <phoneticPr fontId="4" type="noConversion"/>
  </si>
  <si>
    <t>例5</t>
    <phoneticPr fontId="4" type="noConversion"/>
  </si>
  <si>
    <t>提取数字</t>
    <phoneticPr fontId="4" type="noConversion"/>
  </si>
  <si>
    <t>数据</t>
    <phoneticPr fontId="4" type="noConversion"/>
  </si>
  <si>
    <t>123*345*678</t>
    <phoneticPr fontId="4" type="noConversion"/>
  </si>
  <si>
    <t>提取到为文本</t>
    <phoneticPr fontId="4" type="noConversion"/>
  </si>
  <si>
    <t>提取到为数值</t>
    <phoneticPr fontId="4" type="noConversion"/>
  </si>
  <si>
    <t>区域数组,选中 D195:F195 ,编辑栏输入公式,三键结束,下拉.</t>
    <phoneticPr fontId="4" type="noConversion"/>
  </si>
  <si>
    <t>text函数有四个参数,分别是正,负.零,文本,所以利用这个特性,我们就可以把"-"替换为text能识别的"；",然后就可以用text把这三个数提取出来了.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</si>
</sst>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indexed="17"/>
      <name val="宋体"/>
      <family val="3"/>
      <charset val="134"/>
    </font>
    <font>
      <sz val="9"/>
      <name val="宋体"/>
      <family val="3"/>
      <charset val="134"/>
    </font>
    <font>
      <sz val="16"/>
      <name val="黑体"/>
      <family val="3"/>
      <charset val="134"/>
    </font>
    <font>
      <sz val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7" fillId="0" borderId="0" xfId="0" quotePrefix="1" applyFo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21" fontId="1" fillId="0" borderId="5" xfId="0" applyNumberFormat="1" applyFont="1" applyBorder="1" applyAlignment="1">
      <alignment vertical="center" wrapText="1"/>
    </xf>
    <xf numFmtId="0" fontId="1" fillId="0" borderId="6" xfId="0" applyFont="1" applyBorder="1">
      <alignment vertical="center"/>
    </xf>
    <xf numFmtId="14" fontId="1" fillId="0" borderId="5" xfId="0" applyNumberFormat="1" applyFont="1" applyBorder="1" applyAlignment="1">
      <alignment vertical="center" shrinkToFit="1"/>
    </xf>
    <xf numFmtId="14" fontId="1" fillId="0" borderId="5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4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14" fontId="1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2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22" fontId="1" fillId="0" borderId="5" xfId="0" applyNumberFormat="1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22" fontId="1" fillId="0" borderId="8" xfId="0" applyNumberFormat="1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4" xfId="0" applyFont="1" applyBorder="1">
      <alignment vertical="center"/>
    </xf>
    <xf numFmtId="20" fontId="1" fillId="0" borderId="15" xfId="0" applyNumberFormat="1" applyFont="1" applyBorder="1">
      <alignment vertical="center"/>
    </xf>
    <xf numFmtId="0" fontId="0" fillId="0" borderId="15" xfId="0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0" fontId="1" fillId="0" borderId="0" xfId="0" applyNumberFormat="1" applyFont="1">
      <alignment vertical="center"/>
    </xf>
    <xf numFmtId="0" fontId="1" fillId="0" borderId="0" xfId="0" applyFont="1" applyAlignment="1">
      <alignment horizontal="centerContinuous" vertical="center"/>
    </xf>
    <xf numFmtId="0" fontId="1" fillId="0" borderId="2" xfId="0" applyFont="1" applyBorder="1">
      <alignment vertical="center"/>
    </xf>
    <xf numFmtId="0" fontId="1" fillId="0" borderId="8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E67B-8E45-4F2A-995E-F04DD5CEFBF5}">
  <dimension ref="A1:Q188"/>
  <sheetViews>
    <sheetView tabSelected="1" workbookViewId="0">
      <selection sqref="A1:Q188"/>
    </sheetView>
  </sheetViews>
  <sheetFormatPr defaultRowHeight="13.8" x14ac:dyDescent="0.25"/>
  <sheetData>
    <row r="1" spans="1:17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7" ht="20.399999999999999" x14ac:dyDescent="0.25">
      <c r="A3" s="3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7" ht="15.6" x14ac:dyDescent="0.25">
      <c r="A4" s="3"/>
      <c r="B4" s="5" t="s">
        <v>2</v>
      </c>
      <c r="C4" s="3"/>
      <c r="D4" s="3"/>
      <c r="E4" s="3"/>
      <c r="F4" s="3"/>
      <c r="H4" s="3"/>
      <c r="I4" s="3"/>
      <c r="J4" s="3"/>
      <c r="K4" s="3"/>
    </row>
    <row r="5" spans="1:17" x14ac:dyDescent="0.25">
      <c r="A5" s="3"/>
      <c r="B5" s="6" t="s">
        <v>3</v>
      </c>
      <c r="C5" s="7" t="s">
        <v>4</v>
      </c>
      <c r="D5" s="7"/>
      <c r="E5" s="7"/>
      <c r="F5" s="7"/>
      <c r="G5" s="7"/>
      <c r="H5" s="7"/>
      <c r="I5" s="7"/>
      <c r="J5" s="8" t="s">
        <v>2</v>
      </c>
      <c r="K5" s="9" t="s">
        <v>5</v>
      </c>
      <c r="L5" s="10" t="s">
        <v>6</v>
      </c>
    </row>
    <row r="6" spans="1:17" x14ac:dyDescent="0.25">
      <c r="A6" s="3"/>
      <c r="B6" s="11" t="s">
        <v>7</v>
      </c>
      <c r="C6" s="12" t="s">
        <v>8</v>
      </c>
      <c r="D6" s="12"/>
      <c r="E6" s="12"/>
      <c r="F6" s="12"/>
      <c r="G6" s="12"/>
      <c r="H6" s="12"/>
      <c r="I6" s="12"/>
      <c r="J6" s="13">
        <v>123.456</v>
      </c>
      <c r="K6" s="14" t="str">
        <f>TEXT(J6,"####.##")</f>
        <v>123.46</v>
      </c>
      <c r="L6" s="15" t="str">
        <f ca="1">_xlfn.FORMULATEXT(K6)</f>
        <v>=TEXT(J6,"####.##")</v>
      </c>
      <c r="M6" s="3"/>
    </row>
    <row r="7" spans="1:17" x14ac:dyDescent="0.25">
      <c r="A7" s="3"/>
      <c r="B7" s="11">
        <v>0</v>
      </c>
      <c r="C7" s="12" t="s">
        <v>9</v>
      </c>
      <c r="D7" s="12"/>
      <c r="E7" s="12"/>
      <c r="F7" s="12"/>
      <c r="G7" s="12"/>
      <c r="H7" s="12"/>
      <c r="I7" s="12"/>
      <c r="J7" s="13">
        <v>123.456</v>
      </c>
      <c r="K7" s="14" t="str">
        <f>TEXT(J7,"0000.00")</f>
        <v>0123.46</v>
      </c>
      <c r="L7" s="15" t="str">
        <f t="shared" ref="L7:L16" ca="1" si="0">_xlfn.FORMULATEXT(K7)</f>
        <v>=TEXT(J7,"0000.00")</v>
      </c>
    </row>
    <row r="8" spans="1:17" x14ac:dyDescent="0.25">
      <c r="A8" s="3"/>
      <c r="B8" s="11" t="s">
        <v>10</v>
      </c>
      <c r="C8" s="12" t="s">
        <v>11</v>
      </c>
      <c r="D8" s="12"/>
      <c r="E8" s="12"/>
      <c r="F8" s="12"/>
      <c r="G8" s="12"/>
      <c r="H8" s="12"/>
      <c r="I8" s="12"/>
      <c r="J8" s="13">
        <v>12.345599999999999</v>
      </c>
      <c r="K8" s="14" t="str">
        <f>TEXT(J8,"???.???")</f>
        <v xml:space="preserve"> 12.346</v>
      </c>
      <c r="L8" s="15" t="str">
        <f t="shared" ca="1" si="0"/>
        <v>=TEXT(J8,"???.???")</v>
      </c>
    </row>
    <row r="9" spans="1:17" ht="24" x14ac:dyDescent="0.25">
      <c r="A9" s="3"/>
      <c r="B9" s="11" t="s">
        <v>12</v>
      </c>
      <c r="C9" s="12" t="s">
        <v>13</v>
      </c>
      <c r="D9" s="12"/>
      <c r="E9" s="12"/>
      <c r="F9" s="12"/>
      <c r="G9" s="12"/>
      <c r="H9" s="12"/>
      <c r="I9" s="12"/>
      <c r="J9" s="13">
        <v>12345</v>
      </c>
      <c r="K9" s="14" t="str">
        <f>TEXT(J9,"###.000")</f>
        <v>12345.000</v>
      </c>
      <c r="L9" s="15" t="str">
        <f t="shared" ca="1" si="0"/>
        <v>=TEXT(J9,"###.000")</v>
      </c>
    </row>
    <row r="10" spans="1:17" x14ac:dyDescent="0.25">
      <c r="A10" s="1"/>
      <c r="B10" s="16" t="s">
        <v>14</v>
      </c>
      <c r="C10" s="12" t="s">
        <v>15</v>
      </c>
      <c r="D10" s="12"/>
      <c r="E10" s="12"/>
      <c r="F10" s="12"/>
      <c r="G10" s="12"/>
      <c r="H10" s="12"/>
      <c r="I10" s="12"/>
      <c r="J10" s="13">
        <v>12345</v>
      </c>
      <c r="K10" s="14" t="str">
        <f>TEXT(J10,"###,###")</f>
        <v>12,345</v>
      </c>
      <c r="L10" s="15" t="str">
        <f t="shared" ca="1" si="0"/>
        <v>=TEXT(J10,"###,###")</v>
      </c>
    </row>
    <row r="11" spans="1:17" ht="24" x14ac:dyDescent="0.25">
      <c r="A11" s="3"/>
      <c r="B11" s="16"/>
      <c r="C11" s="12" t="s">
        <v>16</v>
      </c>
      <c r="D11" s="12"/>
      <c r="E11" s="12"/>
      <c r="F11" s="12"/>
      <c r="G11" s="12"/>
      <c r="H11" s="12"/>
      <c r="I11" s="12"/>
      <c r="J11" s="13">
        <v>12345</v>
      </c>
      <c r="K11" s="14" t="str">
        <f>TEXT(J11,"0.00千元")</f>
        <v>12345.00千元</v>
      </c>
      <c r="L11" s="15" t="str">
        <f t="shared" ca="1" si="0"/>
        <v>=TEXT(J11,"0.00千元")</v>
      </c>
    </row>
    <row r="12" spans="1:17" ht="24" x14ac:dyDescent="0.25">
      <c r="A12" s="3"/>
      <c r="B12" s="16"/>
      <c r="C12" s="12" t="s">
        <v>17</v>
      </c>
      <c r="D12" s="12"/>
      <c r="E12" s="12"/>
      <c r="F12" s="12"/>
      <c r="G12" s="12"/>
      <c r="H12" s="12"/>
      <c r="I12" s="12"/>
      <c r="J12" s="13">
        <v>12346</v>
      </c>
      <c r="K12" s="14" t="str">
        <f>TEXT(J12,"0.00,,百万元")</f>
        <v>0.01百万元</v>
      </c>
      <c r="L12" s="15" t="str">
        <f t="shared" ca="1" si="0"/>
        <v>=TEXT(J12,"0.00,,百万元")</v>
      </c>
    </row>
    <row r="13" spans="1:17" x14ac:dyDescent="0.25">
      <c r="A13" s="3"/>
      <c r="B13" s="11" t="s">
        <v>18</v>
      </c>
      <c r="C13" s="12" t="s">
        <v>19</v>
      </c>
      <c r="D13" s="12"/>
      <c r="E13" s="12"/>
      <c r="F13" s="12"/>
      <c r="G13" s="12"/>
      <c r="H13" s="12"/>
      <c r="I13" s="12"/>
      <c r="J13" s="13">
        <v>0.5</v>
      </c>
      <c r="K13" s="14" t="str">
        <f>TEXT(J13,"0%")</f>
        <v>50%</v>
      </c>
      <c r="L13" s="15" t="str">
        <f t="shared" ca="1" si="0"/>
        <v>=TEXT(J13,"0%")</v>
      </c>
    </row>
    <row r="14" spans="1:17" x14ac:dyDescent="0.25">
      <c r="A14" s="3"/>
      <c r="B14" s="11" t="s">
        <v>20</v>
      </c>
      <c r="C14" s="12" t="s">
        <v>21</v>
      </c>
      <c r="D14" s="12"/>
      <c r="E14" s="12"/>
      <c r="F14" s="12"/>
      <c r="G14" s="12"/>
      <c r="H14" s="12"/>
      <c r="I14" s="12"/>
      <c r="J14" s="13">
        <v>12345</v>
      </c>
      <c r="K14" s="14" t="str">
        <f>TEXT(J14,"￥#####")</f>
        <v>￥12345</v>
      </c>
      <c r="L14" s="15" t="str">
        <f t="shared" ca="1" si="0"/>
        <v>=TEXT(J14,"￥#####")</v>
      </c>
    </row>
    <row r="15" spans="1:17" x14ac:dyDescent="0.25">
      <c r="A15" s="3"/>
      <c r="B15" s="11" t="s">
        <v>22</v>
      </c>
      <c r="C15" s="12" t="s">
        <v>23</v>
      </c>
      <c r="D15" s="12"/>
      <c r="E15" s="12"/>
      <c r="F15" s="12"/>
      <c r="G15" s="12"/>
      <c r="H15" s="12"/>
      <c r="I15" s="12"/>
      <c r="J15" s="13">
        <v>12345</v>
      </c>
      <c r="K15" s="14" t="str">
        <f>TEXT(J15,"$#####")</f>
        <v>$12345</v>
      </c>
      <c r="L15" s="15" t="str">
        <f t="shared" ca="1" si="0"/>
        <v>=TEXT(J15,"$#####")</v>
      </c>
    </row>
    <row r="16" spans="1:17" x14ac:dyDescent="0.25">
      <c r="A16" s="3"/>
      <c r="B16" s="17" t="s">
        <v>24</v>
      </c>
      <c r="C16" s="18" t="s">
        <v>25</v>
      </c>
      <c r="D16" s="18"/>
      <c r="E16" s="18"/>
      <c r="F16" s="18"/>
      <c r="G16" s="18"/>
      <c r="H16" s="18"/>
      <c r="I16" s="18"/>
      <c r="J16" s="19">
        <v>0.5</v>
      </c>
      <c r="K16" s="20" t="str">
        <f>TEXT(J16,"##/##")</f>
        <v>1/2</v>
      </c>
      <c r="L16" s="15" t="str">
        <f t="shared" ca="1" si="0"/>
        <v>=TEXT(J16,"##/##")</v>
      </c>
    </row>
    <row r="17" spans="1:12" x14ac:dyDescent="0.25">
      <c r="A17" s="3"/>
      <c r="B17" s="3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ht="15.6" x14ac:dyDescent="0.25">
      <c r="A18" s="3"/>
      <c r="B18" s="5" t="s">
        <v>26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3"/>
      <c r="B19" s="6" t="s">
        <v>3</v>
      </c>
      <c r="C19" s="22" t="s">
        <v>4</v>
      </c>
      <c r="D19" s="23"/>
      <c r="E19" s="23"/>
      <c r="F19" s="23"/>
      <c r="G19" s="23"/>
      <c r="H19" s="23"/>
      <c r="I19" s="23"/>
      <c r="J19" s="8" t="s">
        <v>2</v>
      </c>
      <c r="K19" s="9" t="s">
        <v>5</v>
      </c>
      <c r="L19" s="10" t="s">
        <v>6</v>
      </c>
    </row>
    <row r="20" spans="1:12" x14ac:dyDescent="0.25">
      <c r="A20" s="1"/>
      <c r="B20" s="11" t="s">
        <v>27</v>
      </c>
      <c r="C20" s="24" t="s">
        <v>28</v>
      </c>
      <c r="D20" s="25"/>
      <c r="E20" s="25"/>
      <c r="F20" s="25"/>
      <c r="G20" s="25"/>
      <c r="H20" s="25"/>
      <c r="I20" s="25"/>
      <c r="J20" s="26">
        <v>0.35423611111111114</v>
      </c>
      <c r="K20" s="14" t="str">
        <f>TEXT(J20,"hh")</f>
        <v>08</v>
      </c>
      <c r="L20" s="15" t="str">
        <f ca="1">_xlfn.FORMULATEXT(K20)</f>
        <v>=TEXT(J20,"hh")</v>
      </c>
    </row>
    <row r="21" spans="1:12" x14ac:dyDescent="0.25">
      <c r="A21" s="3"/>
      <c r="B21" s="11" t="s">
        <v>29</v>
      </c>
      <c r="C21" s="24" t="s">
        <v>30</v>
      </c>
      <c r="D21" s="25"/>
      <c r="E21" s="25"/>
      <c r="F21" s="25"/>
      <c r="G21" s="25"/>
      <c r="H21" s="25"/>
      <c r="I21" s="25"/>
      <c r="J21" s="26">
        <v>0.35423611111111114</v>
      </c>
      <c r="K21" s="14" t="str">
        <f>TEXT(J21,"h")</f>
        <v>8</v>
      </c>
      <c r="L21" s="15" t="str">
        <f ca="1">_xlfn.FORMULATEXT(K21)</f>
        <v>=TEXT(J21,"h")</v>
      </c>
    </row>
    <row r="22" spans="1:12" x14ac:dyDescent="0.25">
      <c r="A22" s="3"/>
      <c r="B22" s="11" t="s">
        <v>31</v>
      </c>
      <c r="C22" s="24" t="s">
        <v>32</v>
      </c>
      <c r="D22" s="25"/>
      <c r="E22" s="25"/>
      <c r="F22" s="25"/>
      <c r="G22" s="25"/>
      <c r="H22" s="25"/>
      <c r="I22" s="25"/>
      <c r="J22" s="26">
        <v>0.35423611111111114</v>
      </c>
      <c r="K22" s="27" t="s">
        <v>33</v>
      </c>
      <c r="L22" s="15"/>
    </row>
    <row r="23" spans="1:12" x14ac:dyDescent="0.25">
      <c r="A23" s="3"/>
      <c r="B23" s="11" t="s">
        <v>34</v>
      </c>
      <c r="C23" s="24" t="s">
        <v>35</v>
      </c>
      <c r="D23" s="25"/>
      <c r="E23" s="25"/>
      <c r="F23" s="25"/>
      <c r="G23" s="25"/>
      <c r="H23" s="25"/>
      <c r="I23" s="25"/>
      <c r="J23" s="26">
        <v>0.35423611111111114</v>
      </c>
      <c r="K23" s="14" t="str">
        <f>TEXT(J23,"ss")</f>
        <v>06</v>
      </c>
      <c r="L23" s="15" t="str">
        <f ca="1">_xlfn.FORMULATEXT(K23)</f>
        <v>=TEXT(J23,"ss")</v>
      </c>
    </row>
    <row r="24" spans="1:12" x14ac:dyDescent="0.25">
      <c r="A24" s="3"/>
      <c r="B24" s="11" t="s">
        <v>36</v>
      </c>
      <c r="C24" s="24" t="s">
        <v>37</v>
      </c>
      <c r="D24" s="25"/>
      <c r="E24" s="25"/>
      <c r="F24" s="25"/>
      <c r="G24" s="25"/>
      <c r="H24" s="25"/>
      <c r="I24" s="25"/>
      <c r="J24" s="26">
        <v>0.35423611111111114</v>
      </c>
      <c r="K24" s="14" t="str">
        <f>TEXT(J24,"s")</f>
        <v>6</v>
      </c>
      <c r="L24" s="15" t="str">
        <f t="shared" ref="L24:L28" ca="1" si="1">_xlfn.FORMULATEXT(K24)</f>
        <v>=TEXT(J24,"s")</v>
      </c>
    </row>
    <row r="25" spans="1:12" x14ac:dyDescent="0.25">
      <c r="A25" s="3"/>
      <c r="B25" s="11" t="s">
        <v>38</v>
      </c>
      <c r="C25" s="24" t="s">
        <v>39</v>
      </c>
      <c r="D25" s="25"/>
      <c r="E25" s="25"/>
      <c r="F25" s="25"/>
      <c r="G25" s="25"/>
      <c r="H25" s="25"/>
      <c r="I25" s="25"/>
      <c r="J25" s="26">
        <v>0.35423611111111114</v>
      </c>
      <c r="K25" s="14" t="str">
        <f>TEXT(J25,"h:m AM/PM")</f>
        <v>8:30 AM</v>
      </c>
      <c r="L25" s="15" t="str">
        <f t="shared" ca="1" si="1"/>
        <v>=TEXT(J25,"h:m AM/PM")</v>
      </c>
    </row>
    <row r="26" spans="1:12" x14ac:dyDescent="0.25">
      <c r="A26" s="3"/>
      <c r="B26" s="11" t="s">
        <v>40</v>
      </c>
      <c r="C26" s="24" t="s">
        <v>41</v>
      </c>
      <c r="D26" s="25"/>
      <c r="E26" s="25"/>
      <c r="F26" s="25"/>
      <c r="G26" s="25"/>
      <c r="H26" s="25"/>
      <c r="I26" s="25"/>
      <c r="J26" s="26">
        <v>0.35423611111111114</v>
      </c>
      <c r="K26" s="14" t="str">
        <f>TEXT(J26,"[mm]:ss")</f>
        <v>510:06</v>
      </c>
      <c r="L26" s="15" t="str">
        <f t="shared" ca="1" si="1"/>
        <v>=TEXT(J26,"[mm]:ss")</v>
      </c>
    </row>
    <row r="27" spans="1:12" x14ac:dyDescent="0.25">
      <c r="A27" s="3"/>
      <c r="B27" s="11" t="s">
        <v>42</v>
      </c>
      <c r="C27" s="24" t="s">
        <v>43</v>
      </c>
      <c r="D27" s="25"/>
      <c r="E27" s="25"/>
      <c r="F27" s="25"/>
      <c r="G27" s="25"/>
      <c r="H27" s="25"/>
      <c r="I27" s="25"/>
      <c r="J27" s="28">
        <v>41200</v>
      </c>
      <c r="K27" s="14" t="str">
        <f>TEXT(J27,"yyyy")</f>
        <v>2012</v>
      </c>
      <c r="L27" s="15" t="str">
        <f t="shared" ca="1" si="1"/>
        <v>=TEXT(J27,"yyyy")</v>
      </c>
    </row>
    <row r="28" spans="1:12" x14ac:dyDescent="0.25">
      <c r="A28" s="3"/>
      <c r="B28" s="11" t="s">
        <v>44</v>
      </c>
      <c r="C28" s="24" t="s">
        <v>45</v>
      </c>
      <c r="D28" s="25"/>
      <c r="E28" s="25"/>
      <c r="F28" s="25"/>
      <c r="G28" s="25"/>
      <c r="H28" s="25"/>
      <c r="I28" s="25"/>
      <c r="J28" s="28">
        <v>41200</v>
      </c>
      <c r="K28" s="14" t="str">
        <f>TEXT(J28,"yy")</f>
        <v>12</v>
      </c>
      <c r="L28" s="15" t="str">
        <f t="shared" ca="1" si="1"/>
        <v>=TEXT(J28,"yy")</v>
      </c>
    </row>
    <row r="29" spans="1:12" x14ac:dyDescent="0.25">
      <c r="A29" s="3"/>
      <c r="B29" s="11" t="s">
        <v>46</v>
      </c>
      <c r="C29" s="24" t="s">
        <v>47</v>
      </c>
      <c r="D29" s="25"/>
      <c r="E29" s="25"/>
      <c r="F29" s="25"/>
      <c r="G29" s="25"/>
      <c r="H29" s="25"/>
      <c r="I29" s="25"/>
      <c r="J29" s="28"/>
      <c r="K29" s="14"/>
      <c r="L29" s="15"/>
    </row>
    <row r="30" spans="1:12" x14ac:dyDescent="0.25">
      <c r="A30" s="3"/>
      <c r="B30" s="11" t="s">
        <v>48</v>
      </c>
      <c r="C30" s="24" t="s">
        <v>49</v>
      </c>
      <c r="D30" s="25"/>
      <c r="E30" s="25"/>
      <c r="F30" s="25"/>
      <c r="G30" s="25"/>
      <c r="H30" s="25"/>
      <c r="I30" s="25"/>
      <c r="J30" s="28"/>
      <c r="K30" s="14"/>
      <c r="L30" s="15"/>
    </row>
    <row r="31" spans="1:12" x14ac:dyDescent="0.25">
      <c r="A31" s="3"/>
      <c r="B31" s="11" t="s">
        <v>50</v>
      </c>
      <c r="C31" s="24" t="s">
        <v>51</v>
      </c>
      <c r="D31" s="25"/>
      <c r="E31" s="25"/>
      <c r="F31" s="25"/>
      <c r="G31" s="25"/>
      <c r="H31" s="25"/>
      <c r="I31" s="25"/>
      <c r="J31" s="28"/>
      <c r="K31" s="14"/>
      <c r="L31" s="15"/>
    </row>
    <row r="32" spans="1:12" x14ac:dyDescent="0.25">
      <c r="A32" s="3"/>
      <c r="B32" s="11" t="s">
        <v>52</v>
      </c>
      <c r="C32" s="24" t="s">
        <v>53</v>
      </c>
      <c r="D32" s="25"/>
      <c r="E32" s="25"/>
      <c r="F32" s="25"/>
      <c r="G32" s="25"/>
      <c r="H32" s="25"/>
      <c r="I32" s="25"/>
      <c r="J32" s="28"/>
      <c r="K32" s="14"/>
      <c r="L32" s="15"/>
    </row>
    <row r="33" spans="1:12" x14ac:dyDescent="0.25">
      <c r="A33" s="3"/>
      <c r="B33" s="11" t="s">
        <v>54</v>
      </c>
      <c r="C33" s="24" t="s">
        <v>55</v>
      </c>
      <c r="D33" s="25"/>
      <c r="E33" s="25"/>
      <c r="F33" s="25"/>
      <c r="G33" s="25"/>
      <c r="H33" s="25"/>
      <c r="I33" s="25"/>
      <c r="J33" s="28">
        <v>41930</v>
      </c>
      <c r="K33" s="14" t="str">
        <f>TEXT(J33,"m")</f>
        <v>10</v>
      </c>
      <c r="L33" s="15" t="str">
        <f ca="1">_xlfn.FORMULATEXT(K33)</f>
        <v>=TEXT(J33,"m")</v>
      </c>
    </row>
    <row r="34" spans="1:12" x14ac:dyDescent="0.25">
      <c r="A34" s="3"/>
      <c r="B34" s="11" t="s">
        <v>56</v>
      </c>
      <c r="C34" s="24" t="s">
        <v>57</v>
      </c>
      <c r="D34" s="25"/>
      <c r="E34" s="25"/>
      <c r="F34" s="25"/>
      <c r="G34" s="25"/>
      <c r="H34" s="25"/>
      <c r="I34" s="25"/>
      <c r="J34" s="28">
        <v>41930</v>
      </c>
      <c r="K34" s="14" t="str">
        <f>TEXT(J34,"mmmm")</f>
        <v>October</v>
      </c>
      <c r="L34" s="15" t="str">
        <f t="shared" ref="L34:L41" ca="1" si="2">_xlfn.FORMULATEXT(K34)</f>
        <v>=TEXT(J34,"mmmm")</v>
      </c>
    </row>
    <row r="35" spans="1:12" x14ac:dyDescent="0.25">
      <c r="B35" s="11" t="s">
        <v>58</v>
      </c>
      <c r="C35" s="24" t="s">
        <v>59</v>
      </c>
      <c r="D35" s="25"/>
      <c r="E35" s="25"/>
      <c r="F35" s="25"/>
      <c r="G35" s="25"/>
      <c r="H35" s="25"/>
      <c r="I35" s="25"/>
      <c r="J35" s="28">
        <v>41930</v>
      </c>
      <c r="K35" s="14" t="str">
        <f>TEXT(J35,"mmm")</f>
        <v>Oct</v>
      </c>
      <c r="L35" s="15" t="str">
        <f t="shared" ca="1" si="2"/>
        <v>=TEXT(J35,"mmm")</v>
      </c>
    </row>
    <row r="36" spans="1:12" x14ac:dyDescent="0.25">
      <c r="B36" s="11" t="s">
        <v>60</v>
      </c>
      <c r="C36" s="24" t="s">
        <v>61</v>
      </c>
      <c r="D36" s="25"/>
      <c r="E36" s="25"/>
      <c r="F36" s="25"/>
      <c r="G36" s="25"/>
      <c r="H36" s="25"/>
      <c r="I36" s="25"/>
      <c r="J36" s="29">
        <v>41914</v>
      </c>
      <c r="K36" s="14" t="str">
        <f>TEXT(J36,"dd")</f>
        <v>02</v>
      </c>
      <c r="L36" s="15" t="str">
        <f t="shared" ca="1" si="2"/>
        <v>=TEXT(J36,"dd")</v>
      </c>
    </row>
    <row r="37" spans="1:12" x14ac:dyDescent="0.25">
      <c r="B37" s="11" t="s">
        <v>62</v>
      </c>
      <c r="C37" s="24" t="s">
        <v>63</v>
      </c>
      <c r="D37" s="25"/>
      <c r="E37" s="25"/>
      <c r="F37" s="25"/>
      <c r="G37" s="25"/>
      <c r="H37" s="25"/>
      <c r="I37" s="25"/>
      <c r="J37" s="29">
        <v>41914</v>
      </c>
      <c r="K37" s="14" t="str">
        <f>TEXT(J37,"d")</f>
        <v>2</v>
      </c>
      <c r="L37" s="15" t="str">
        <f t="shared" ca="1" si="2"/>
        <v>=TEXT(J37,"d")</v>
      </c>
    </row>
    <row r="38" spans="1:12" x14ac:dyDescent="0.25">
      <c r="B38" s="11" t="s">
        <v>64</v>
      </c>
      <c r="C38" s="24" t="s">
        <v>65</v>
      </c>
      <c r="D38" s="25"/>
      <c r="E38" s="25"/>
      <c r="F38" s="25"/>
      <c r="G38" s="25"/>
      <c r="H38" s="25"/>
      <c r="I38" s="25"/>
      <c r="J38" s="28">
        <v>41930</v>
      </c>
      <c r="K38" s="14" t="str">
        <f>TEXT(J38,"aaaa")</f>
        <v>星期六</v>
      </c>
      <c r="L38" s="15" t="str">
        <f t="shared" ca="1" si="2"/>
        <v>=TEXT(J38,"aaaa")</v>
      </c>
    </row>
    <row r="39" spans="1:12" x14ac:dyDescent="0.25">
      <c r="B39" s="11" t="s">
        <v>66</v>
      </c>
      <c r="C39" s="24" t="s">
        <v>67</v>
      </c>
      <c r="D39" s="25"/>
      <c r="E39" s="25"/>
      <c r="F39" s="25"/>
      <c r="G39" s="25"/>
      <c r="H39" s="25"/>
      <c r="I39" s="25"/>
      <c r="J39" s="28">
        <v>41930</v>
      </c>
      <c r="K39" s="14" t="str">
        <f>TEXT(J39,"aaa")</f>
        <v>六</v>
      </c>
      <c r="L39" s="15" t="str">
        <f t="shared" ca="1" si="2"/>
        <v>=TEXT(J39,"aaa")</v>
      </c>
    </row>
    <row r="40" spans="1:12" x14ac:dyDescent="0.25">
      <c r="B40" s="11" t="s">
        <v>68</v>
      </c>
      <c r="C40" s="24" t="s">
        <v>69</v>
      </c>
      <c r="D40" s="25"/>
      <c r="E40" s="25"/>
      <c r="F40" s="25"/>
      <c r="G40" s="25"/>
      <c r="H40" s="25"/>
      <c r="I40" s="25"/>
      <c r="J40" s="28">
        <v>41930</v>
      </c>
      <c r="K40" s="14" t="str">
        <f>TEXT(J40,"dddd")</f>
        <v>Saturday</v>
      </c>
      <c r="L40" s="15" t="str">
        <f t="shared" ca="1" si="2"/>
        <v>=TEXT(J40,"dddd")</v>
      </c>
    </row>
    <row r="41" spans="1:12" x14ac:dyDescent="0.25">
      <c r="B41" s="17" t="s">
        <v>70</v>
      </c>
      <c r="C41" s="24" t="s">
        <v>71</v>
      </c>
      <c r="D41" s="25"/>
      <c r="E41" s="25"/>
      <c r="F41" s="25"/>
      <c r="G41" s="25"/>
      <c r="H41" s="25"/>
      <c r="I41" s="25"/>
      <c r="J41" s="28">
        <v>41930</v>
      </c>
      <c r="K41" s="14" t="str">
        <f>TEXT(J41,"ddd")</f>
        <v>Sat</v>
      </c>
      <c r="L41" s="15" t="str">
        <f t="shared" ca="1" si="2"/>
        <v>=TEXT(J41,"ddd")</v>
      </c>
    </row>
    <row r="43" spans="1:12" ht="15.6" x14ac:dyDescent="0.25">
      <c r="B43" s="5" t="s">
        <v>72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 x14ac:dyDescent="0.25">
      <c r="B44" s="6" t="s">
        <v>3</v>
      </c>
      <c r="C44" s="7" t="s">
        <v>4</v>
      </c>
      <c r="D44" s="7"/>
      <c r="E44" s="7"/>
      <c r="F44" s="7"/>
      <c r="G44" s="7"/>
      <c r="H44" s="7"/>
      <c r="I44" s="7"/>
      <c r="J44" s="8" t="s">
        <v>2</v>
      </c>
      <c r="K44" s="9" t="s">
        <v>5</v>
      </c>
      <c r="L44" s="10" t="s">
        <v>6</v>
      </c>
    </row>
    <row r="45" spans="1:12" x14ac:dyDescent="0.25">
      <c r="B45" s="11" t="s">
        <v>73</v>
      </c>
      <c r="C45" s="12" t="s">
        <v>74</v>
      </c>
      <c r="D45" s="12"/>
      <c r="E45" s="12"/>
      <c r="F45" s="12"/>
      <c r="G45" s="12"/>
      <c r="H45" s="12"/>
      <c r="I45" s="12"/>
      <c r="J45" s="13">
        <v>123450</v>
      </c>
      <c r="K45" s="14" t="str">
        <f>TEXT(J45,"G/通用格式")</f>
        <v>/通用格式</v>
      </c>
      <c r="L45" s="15" t="str">
        <f ca="1">_xlfn.FORMULATEXT(K45)</f>
        <v>=TEXT(J45,"G/通用格式")</v>
      </c>
    </row>
    <row r="46" spans="1:12" ht="36" x14ac:dyDescent="0.25">
      <c r="B46" s="11" t="s">
        <v>75</v>
      </c>
      <c r="C46" s="12" t="s">
        <v>76</v>
      </c>
      <c r="D46" s="12"/>
      <c r="E46" s="12"/>
      <c r="F46" s="12"/>
      <c r="G46" s="12"/>
      <c r="H46" s="12"/>
      <c r="I46" s="12"/>
      <c r="J46" s="13">
        <v>123450</v>
      </c>
      <c r="K46" s="14" t="str">
        <f>TEXT(J46,"[DBNum1]")</f>
        <v>一十二万三千四百五十</v>
      </c>
      <c r="L46" s="15" t="str">
        <f t="shared" ref="L46:L53" ca="1" si="3">_xlfn.FORMULATEXT(K46)</f>
        <v>=TEXT(J46,"[DBNum1]")</v>
      </c>
    </row>
    <row r="47" spans="1:12" ht="24" x14ac:dyDescent="0.25">
      <c r="B47" s="30" t="s">
        <v>77</v>
      </c>
      <c r="C47" s="12" t="s">
        <v>78</v>
      </c>
      <c r="D47" s="12"/>
      <c r="E47" s="12"/>
      <c r="F47" s="12"/>
      <c r="G47" s="12"/>
      <c r="H47" s="12"/>
      <c r="I47" s="12"/>
      <c r="J47" s="13">
        <v>123450</v>
      </c>
      <c r="K47" s="14" t="str">
        <f>TEXT(J47,"[DBNum1]###0")</f>
        <v>一二三四五○</v>
      </c>
      <c r="L47" s="15" t="str">
        <f t="shared" ca="1" si="3"/>
        <v>=TEXT(J47,"[DBNum1]###0")</v>
      </c>
    </row>
    <row r="48" spans="1:12" ht="36" x14ac:dyDescent="0.25">
      <c r="B48" s="11" t="s">
        <v>79</v>
      </c>
      <c r="C48" s="12" t="s">
        <v>80</v>
      </c>
      <c r="D48" s="12"/>
      <c r="E48" s="12"/>
      <c r="F48" s="12"/>
      <c r="G48" s="12"/>
      <c r="H48" s="12"/>
      <c r="I48" s="12"/>
      <c r="J48" s="13">
        <v>123450</v>
      </c>
      <c r="K48" s="14" t="str">
        <f>TEXT(J48,"[DBNum2]")</f>
        <v>壹拾贰万叁仟肆佰伍拾</v>
      </c>
      <c r="L48" s="15" t="str">
        <f t="shared" ca="1" si="3"/>
        <v>=TEXT(J48,"[DBNum2]")</v>
      </c>
    </row>
    <row r="49" spans="1:12" ht="24" x14ac:dyDescent="0.25">
      <c r="B49" s="30" t="s">
        <v>81</v>
      </c>
      <c r="C49" s="12" t="s">
        <v>82</v>
      </c>
      <c r="D49" s="12"/>
      <c r="E49" s="12"/>
      <c r="F49" s="12"/>
      <c r="G49" s="12"/>
      <c r="H49" s="12"/>
      <c r="I49" s="12"/>
      <c r="J49" s="13">
        <v>123450</v>
      </c>
      <c r="K49" s="14" t="str">
        <f>TEXT(J49,"[DBNum2]###0")</f>
        <v>壹贰叁肆伍零</v>
      </c>
      <c r="L49" s="15" t="str">
        <f t="shared" ca="1" si="3"/>
        <v>=TEXT(J49,"[DBNum2]###0")</v>
      </c>
    </row>
    <row r="50" spans="1:12" ht="36" x14ac:dyDescent="0.25">
      <c r="B50" s="11" t="s">
        <v>83</v>
      </c>
      <c r="C50" s="12" t="s">
        <v>84</v>
      </c>
      <c r="D50" s="12"/>
      <c r="E50" s="12"/>
      <c r="F50" s="12"/>
      <c r="G50" s="12"/>
      <c r="H50" s="12"/>
      <c r="I50" s="12"/>
      <c r="J50" s="13">
        <v>123450</v>
      </c>
      <c r="K50" s="14" t="str">
        <f>TEXT(J50,"[DBNum3]")</f>
        <v>１十２万３千４百５十</v>
      </c>
      <c r="L50" s="15" t="str">
        <f t="shared" ca="1" si="3"/>
        <v>=TEXT(J50,"[DBNum3]")</v>
      </c>
    </row>
    <row r="51" spans="1:12" x14ac:dyDescent="0.25">
      <c r="B51" s="30" t="s">
        <v>85</v>
      </c>
      <c r="C51" s="12" t="s">
        <v>86</v>
      </c>
      <c r="D51" s="12"/>
      <c r="E51" s="12"/>
      <c r="F51" s="12"/>
      <c r="G51" s="12"/>
      <c r="H51" s="12"/>
      <c r="I51" s="12"/>
      <c r="J51" s="13"/>
      <c r="K51" s="27" t="s">
        <v>87</v>
      </c>
      <c r="L51" s="15"/>
    </row>
    <row r="52" spans="1:12" x14ac:dyDescent="0.25">
      <c r="B52" s="11" t="s">
        <v>88</v>
      </c>
      <c r="C52" s="12" t="s">
        <v>89</v>
      </c>
      <c r="D52" s="12"/>
      <c r="E52" s="12"/>
      <c r="F52" s="12"/>
      <c r="G52" s="12"/>
      <c r="H52" s="12"/>
      <c r="I52" s="12"/>
      <c r="J52" s="13">
        <v>12345</v>
      </c>
      <c r="K52" s="14" t="str">
        <f>TEXT(J52,"##;(##)")</f>
        <v>12345</v>
      </c>
      <c r="L52" s="15" t="str">
        <f t="shared" ca="1" si="3"/>
        <v>=TEXT(J52,"##;(##)")</v>
      </c>
    </row>
    <row r="53" spans="1:12" x14ac:dyDescent="0.25">
      <c r="B53" s="31" t="s">
        <v>90</v>
      </c>
      <c r="C53" s="18" t="s">
        <v>91</v>
      </c>
      <c r="D53" s="18"/>
      <c r="E53" s="18"/>
      <c r="F53" s="18"/>
      <c r="G53" s="18"/>
      <c r="H53" s="18"/>
      <c r="I53" s="18"/>
      <c r="J53" s="19">
        <v>12345</v>
      </c>
      <c r="K53" s="20" t="str">
        <f>TEXT(J53,"#,###_-$;####-$")</f>
        <v>12,345 $</v>
      </c>
      <c r="L53" s="15" t="str">
        <f t="shared" ca="1" si="3"/>
        <v>=TEXT(J53,"#,###_-$;####-$")</v>
      </c>
    </row>
    <row r="56" spans="1:12" x14ac:dyDescent="0.25">
      <c r="A56" s="1" t="s">
        <v>92</v>
      </c>
      <c r="B56" s="2" t="s">
        <v>93</v>
      </c>
      <c r="C56" s="3"/>
      <c r="D56" s="3"/>
      <c r="E56" s="3"/>
      <c r="F56" s="3"/>
      <c r="G56" s="3"/>
      <c r="H56" s="3"/>
    </row>
    <row r="57" spans="1:12" x14ac:dyDescent="0.25">
      <c r="A57" s="3"/>
      <c r="B57" s="3" t="s">
        <v>94</v>
      </c>
      <c r="E57" s="3"/>
      <c r="F57" s="3"/>
      <c r="G57" s="3"/>
      <c r="H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</row>
    <row r="60" spans="1:12" x14ac:dyDescent="0.25">
      <c r="A60" s="3"/>
      <c r="B60" s="1" t="s">
        <v>95</v>
      </c>
      <c r="C60" s="32" t="s">
        <v>96</v>
      </c>
      <c r="D60" s="32"/>
      <c r="E60" s="10" t="s">
        <v>97</v>
      </c>
      <c r="F60" s="3"/>
      <c r="G60" s="3"/>
      <c r="H60" s="3"/>
    </row>
    <row r="61" spans="1:12" x14ac:dyDescent="0.25">
      <c r="A61" s="3"/>
      <c r="B61" s="3">
        <v>20141018</v>
      </c>
      <c r="C61" s="33">
        <f>TEXT(B61,"#-00-00")*1</f>
        <v>41930</v>
      </c>
      <c r="D61" s="33"/>
      <c r="E61" s="15" t="str">
        <f ca="1">_xlfn.FORMULATEXT(C61)</f>
        <v>=TEXT(B61,"#-00-00")*1</v>
      </c>
      <c r="F61" s="3"/>
      <c r="G61" s="3"/>
      <c r="H61" s="3"/>
      <c r="I61" s="3"/>
      <c r="J61" s="3"/>
      <c r="K61" s="3"/>
    </row>
    <row r="62" spans="1:12" x14ac:dyDescent="0.25">
      <c r="A62" s="3"/>
      <c r="B62" s="3">
        <v>20141018</v>
      </c>
      <c r="C62" s="33">
        <f>TEXT(B62,"0000-00-00")*1</f>
        <v>41930</v>
      </c>
      <c r="D62" s="33"/>
      <c r="E62" s="15" t="str">
        <f ca="1">_xlfn.FORMULATEXT(C62)</f>
        <v>=TEXT(B62,"0000-00-00")*1</v>
      </c>
      <c r="F62" s="3"/>
      <c r="G62" s="3"/>
      <c r="H62" s="3"/>
      <c r="I62" s="3"/>
      <c r="J62" s="3"/>
      <c r="K62" s="3"/>
    </row>
    <row r="63" spans="1:12" x14ac:dyDescent="0.25">
      <c r="A63" s="3"/>
      <c r="B63" s="3" t="s">
        <v>98</v>
      </c>
      <c r="C63" s="3"/>
      <c r="D63" s="3"/>
      <c r="E63" s="3"/>
      <c r="F63" s="3"/>
      <c r="G63" s="3"/>
      <c r="H63" s="3"/>
      <c r="I63" s="3"/>
      <c r="J63" s="3"/>
      <c r="K63" s="3"/>
    </row>
    <row r="64" spans="1:12" x14ac:dyDescent="0.25">
      <c r="A64" s="3"/>
      <c r="B64" s="3">
        <v>20141018</v>
      </c>
      <c r="C64" s="34" t="str">
        <f>TEXT(B64,"#-00-00")</f>
        <v>2014-10-18</v>
      </c>
      <c r="D64" s="34"/>
      <c r="E64" s="3"/>
      <c r="F64" s="3"/>
      <c r="G64" s="3"/>
      <c r="H64" s="3"/>
      <c r="I64" s="3"/>
      <c r="J64" s="3"/>
      <c r="K64" s="3"/>
    </row>
    <row r="65" spans="1:11" x14ac:dyDescent="0.25">
      <c r="A65" s="3"/>
      <c r="B65" s="3" t="s">
        <v>99</v>
      </c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5">
      <c r="B66" s="3" t="s">
        <v>100</v>
      </c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25">
      <c r="A67" s="3"/>
      <c r="B67" s="35">
        <v>41930</v>
      </c>
      <c r="C67" s="3">
        <v>41930</v>
      </c>
      <c r="D67" s="3" t="str">
        <f>IF(B67=C67,"相同","不相同")</f>
        <v>相同</v>
      </c>
      <c r="E67" s="15" t="str">
        <f ca="1">_xlfn.FORMULATEXT(D67)</f>
        <v>=IF(B67=C67,"相同","不相同")</v>
      </c>
      <c r="F67" s="3"/>
      <c r="G67" s="3"/>
      <c r="H67" s="3"/>
      <c r="I67" s="3"/>
      <c r="J67" s="3"/>
      <c r="K67" s="3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x14ac:dyDescent="0.25">
      <c r="A69" s="3"/>
      <c r="B69" s="3" t="s">
        <v>101</v>
      </c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25">
      <c r="A71" s="1" t="s">
        <v>102</v>
      </c>
      <c r="B71" s="2" t="s">
        <v>103</v>
      </c>
      <c r="C71" s="3"/>
      <c r="D71" s="3"/>
      <c r="E71" s="3"/>
      <c r="F71" s="3"/>
      <c r="G71" s="3"/>
      <c r="H71" s="3"/>
      <c r="I71" s="3"/>
      <c r="J71" s="3"/>
      <c r="K71" s="3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x14ac:dyDescent="0.25">
      <c r="A73" s="3"/>
      <c r="B73" s="3" t="s">
        <v>104</v>
      </c>
      <c r="C73" s="3" t="s">
        <v>105</v>
      </c>
      <c r="E73" s="3" t="s">
        <v>106</v>
      </c>
      <c r="G73" s="3" t="s">
        <v>107</v>
      </c>
      <c r="H73" s="10" t="s">
        <v>97</v>
      </c>
      <c r="I73" s="3"/>
      <c r="J73" s="3"/>
    </row>
    <row r="74" spans="1:11" x14ac:dyDescent="0.25">
      <c r="A74" s="3"/>
      <c r="B74" s="36" t="s">
        <v>108</v>
      </c>
      <c r="C74" s="37">
        <v>44431.354166666664</v>
      </c>
      <c r="D74" s="37"/>
      <c r="E74" s="37">
        <v>44431.356249999997</v>
      </c>
      <c r="F74" s="37"/>
      <c r="G74" s="38" t="e">
        <f>TEXT(C74-E74,"h:mm:ss;超时h:mm:ss")</f>
        <v>#VALUE!</v>
      </c>
      <c r="H74" s="15" t="str">
        <f ca="1">_xlfn.FORMULATEXT(G74)</f>
        <v>=TEXT(C74-E74,"h:mm:ss;超时h:mm:ss")</v>
      </c>
      <c r="I74" s="3"/>
      <c r="J74" s="3"/>
    </row>
    <row r="75" spans="1:11" x14ac:dyDescent="0.25">
      <c r="A75" s="3"/>
      <c r="B75" s="39" t="s">
        <v>109</v>
      </c>
      <c r="C75" s="40">
        <v>44431.354166666664</v>
      </c>
      <c r="D75" s="40"/>
      <c r="E75" s="40">
        <v>44431.352777777778</v>
      </c>
      <c r="F75" s="40"/>
      <c r="G75" s="27" t="str">
        <f>TEXT(C75-E75,"h:mm:ss;超时h:mm:ss")</f>
        <v>0:02:00</v>
      </c>
      <c r="H75" s="3"/>
      <c r="I75" s="3" t="s">
        <v>110</v>
      </c>
      <c r="J75" s="3"/>
      <c r="K75" s="3"/>
    </row>
    <row r="76" spans="1:11" x14ac:dyDescent="0.25">
      <c r="A76" s="3"/>
      <c r="B76" s="41" t="s">
        <v>111</v>
      </c>
      <c r="C76" s="42">
        <v>44431.354166666664</v>
      </c>
      <c r="D76" s="42"/>
      <c r="E76" s="42">
        <v>44431.344444444447</v>
      </c>
      <c r="F76" s="42"/>
      <c r="G76" s="43" t="str">
        <f>TEXT(C76-E76,"h:mm:ss;超时h:mm:ss")</f>
        <v>0:14:00</v>
      </c>
      <c r="H76" s="3"/>
      <c r="I76" s="3" t="s">
        <v>112</v>
      </c>
      <c r="J76" s="3"/>
      <c r="K76" s="3"/>
    </row>
    <row r="77" spans="1:11" x14ac:dyDescent="0.25">
      <c r="A77" s="3"/>
      <c r="E77" s="3" t="s">
        <v>113</v>
      </c>
      <c r="G77" s="3"/>
      <c r="H77" s="3"/>
      <c r="I77" s="3" t="s">
        <v>114</v>
      </c>
      <c r="J77" s="3"/>
      <c r="K77" s="3"/>
    </row>
    <row r="78" spans="1:11" x14ac:dyDescent="0.25">
      <c r="A78" s="3"/>
      <c r="B78" s="44" t="s">
        <v>115</v>
      </c>
      <c r="C78" s="45">
        <v>0.35416666666666669</v>
      </c>
      <c r="D78" s="46"/>
      <c r="E78" s="47"/>
      <c r="F78" s="46"/>
      <c r="G78" s="48" t="e">
        <f ca="1">TEXT(C78-NOW(),"h:mm:ss;超时h:mm:ss")</f>
        <v>#VALUE!</v>
      </c>
      <c r="H78" s="3"/>
      <c r="I78" s="3"/>
      <c r="J78" s="3"/>
      <c r="K78" s="3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3"/>
      <c r="B80" s="49" t="s">
        <v>116</v>
      </c>
      <c r="C80" s="3"/>
      <c r="D80" s="3"/>
      <c r="E80" s="3"/>
      <c r="F80" s="3"/>
      <c r="G80" s="3"/>
      <c r="H80" s="3"/>
      <c r="I80" s="3"/>
      <c r="J80" s="3"/>
      <c r="K80" s="3"/>
    </row>
    <row r="81" spans="1:12" x14ac:dyDescent="0.25">
      <c r="A81" s="3"/>
      <c r="B81" s="49" t="s">
        <v>117</v>
      </c>
      <c r="C81" s="3"/>
      <c r="D81" s="3"/>
      <c r="E81" s="3"/>
      <c r="F81" s="3"/>
      <c r="G81" s="3"/>
      <c r="H81" s="3"/>
      <c r="I81" s="3"/>
      <c r="J81" s="3"/>
      <c r="K81" s="3"/>
    </row>
    <row r="82" spans="1:12" x14ac:dyDescent="0.25">
      <c r="A82" s="3"/>
      <c r="B82" s="49" t="s">
        <v>118</v>
      </c>
      <c r="C82" s="3"/>
      <c r="D82" s="3"/>
      <c r="E82" s="3"/>
      <c r="F82" s="3"/>
      <c r="G82" s="3"/>
      <c r="H82" s="3"/>
      <c r="I82" s="3"/>
      <c r="J82" s="3"/>
      <c r="K82" s="3"/>
    </row>
    <row r="83" spans="1:1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2" x14ac:dyDescent="0.25">
      <c r="A85" s="1" t="s">
        <v>119</v>
      </c>
      <c r="B85" s="2" t="s">
        <v>120</v>
      </c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3"/>
      <c r="B86" s="3"/>
      <c r="C86" s="3"/>
      <c r="D86" s="3"/>
      <c r="E86" s="3"/>
      <c r="F86" s="3"/>
      <c r="H86" s="3"/>
      <c r="I86" s="3"/>
      <c r="J86" s="3"/>
      <c r="K86" s="3"/>
      <c r="L86" s="3"/>
    </row>
    <row r="87" spans="1:12" x14ac:dyDescent="0.25">
      <c r="A87" s="3"/>
      <c r="B87" s="10" t="s">
        <v>121</v>
      </c>
      <c r="C87" s="10" t="s">
        <v>107</v>
      </c>
      <c r="D87" s="10" t="s">
        <v>97</v>
      </c>
      <c r="E87" s="3"/>
      <c r="F87" s="3"/>
      <c r="H87" s="3"/>
      <c r="I87" s="3"/>
      <c r="J87" s="3"/>
      <c r="K87" s="3"/>
      <c r="L87" s="3"/>
    </row>
    <row r="88" spans="1:12" x14ac:dyDescent="0.25">
      <c r="A88" s="3"/>
      <c r="B88" s="36">
        <v>3433</v>
      </c>
      <c r="C88" s="38">
        <f>--TEXT(B88,"0;!0;0")</f>
        <v>3433</v>
      </c>
      <c r="D88" s="15" t="str">
        <f ca="1">_xlfn.FORMULATEXT(C88)</f>
        <v>=--TEXT(B88,"0;!0;0")</v>
      </c>
      <c r="E88" s="3"/>
      <c r="F88" s="3"/>
      <c r="H88" s="3"/>
      <c r="I88" s="3"/>
      <c r="J88" s="3"/>
      <c r="K88" s="3"/>
      <c r="L88" s="3"/>
    </row>
    <row r="89" spans="1:12" x14ac:dyDescent="0.25">
      <c r="A89" s="3"/>
      <c r="B89" s="39">
        <v>-156</v>
      </c>
      <c r="C89" s="27" t="e">
        <f t="shared" ref="C89:C92" si="4">--TEXT(B89,"0;!0;0")</f>
        <v>#VALUE!</v>
      </c>
      <c r="D89" s="3"/>
      <c r="E89" s="3"/>
      <c r="F89" s="3"/>
      <c r="H89" s="3"/>
      <c r="I89" s="3"/>
      <c r="J89" s="3"/>
      <c r="K89" s="3"/>
      <c r="L89" s="3"/>
    </row>
    <row r="90" spans="1:12" x14ac:dyDescent="0.25">
      <c r="A90" s="3"/>
      <c r="B90" s="39">
        <v>0</v>
      </c>
      <c r="C90" s="27">
        <f t="shared" si="4"/>
        <v>0</v>
      </c>
      <c r="D90" s="3"/>
      <c r="E90" s="3"/>
      <c r="F90" s="3"/>
      <c r="H90" s="3"/>
      <c r="I90" s="3"/>
      <c r="J90" s="3"/>
      <c r="K90" s="3"/>
      <c r="L90" s="3"/>
    </row>
    <row r="91" spans="1:12" x14ac:dyDescent="0.25">
      <c r="A91" s="3"/>
      <c r="B91" s="39">
        <v>562</v>
      </c>
      <c r="C91" s="27">
        <f t="shared" si="4"/>
        <v>562</v>
      </c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5">
      <c r="A92" s="3"/>
      <c r="B92" s="41">
        <v>-562</v>
      </c>
      <c r="C92" s="43" t="e">
        <f t="shared" si="4"/>
        <v>#VALUE!</v>
      </c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3"/>
      <c r="B94" s="3" t="s">
        <v>122</v>
      </c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3"/>
      <c r="B95" s="3" t="s">
        <v>123</v>
      </c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3"/>
      <c r="B96" s="3" t="s">
        <v>124</v>
      </c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7" x14ac:dyDescent="0.25">
      <c r="A98" s="3"/>
      <c r="B98" s="3" t="s">
        <v>125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7" x14ac:dyDescent="0.25">
      <c r="A99" s="3"/>
      <c r="B99" s="3" t="s">
        <v>126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7" x14ac:dyDescent="0.25">
      <c r="A100" s="3"/>
      <c r="B100" s="3" t="s">
        <v>127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7" x14ac:dyDescent="0.25">
      <c r="A101" s="3"/>
      <c r="B101" s="3" t="s">
        <v>128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4" spans="1:17" x14ac:dyDescent="0.25">
      <c r="A104" s="1" t="s">
        <v>119</v>
      </c>
      <c r="B104" s="2" t="s">
        <v>129</v>
      </c>
    </row>
    <row r="105" spans="1:17" x14ac:dyDescent="0.25">
      <c r="A105" s="1"/>
      <c r="B105" s="2"/>
    </row>
    <row r="106" spans="1:17" x14ac:dyDescent="0.25">
      <c r="A106" s="1"/>
      <c r="B106" s="50" t="s">
        <v>130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5">
      <c r="A107" s="3"/>
      <c r="B107" s="3" t="s">
        <v>131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5">
      <c r="A108" s="3"/>
      <c r="B108" s="3" t="s">
        <v>132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 s="3"/>
      <c r="B109" s="3" t="s">
        <v>133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5">
      <c r="A110" s="3"/>
      <c r="B110" s="3" t="s">
        <v>134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5">
      <c r="A111" s="3"/>
      <c r="B111" s="3" t="s">
        <v>135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5">
      <c r="A112" s="3"/>
      <c r="B112" s="3" t="s">
        <v>136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5">
      <c r="A113" s="3"/>
      <c r="B113" s="3" t="s">
        <v>137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5">
      <c r="A114" s="3"/>
      <c r="B114" s="3" t="s">
        <v>138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5">
      <c r="A115" s="3"/>
      <c r="B115" s="3" t="s">
        <v>139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5">
      <c r="A116" s="3"/>
      <c r="B116" s="3" t="s">
        <v>140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5">
      <c r="A117" s="3"/>
      <c r="B117" s="3" t="s">
        <v>141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5">
      <c r="A118" s="3"/>
      <c r="B118" s="3" t="s">
        <v>142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5">
      <c r="A119" s="3"/>
      <c r="B119" s="3" t="s">
        <v>143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 s="3"/>
      <c r="B120" s="3" t="s">
        <v>144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5">
      <c r="A121" s="3"/>
      <c r="B121" s="3" t="s">
        <v>145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5">
      <c r="A122" s="3"/>
      <c r="B122" s="3" t="s">
        <v>146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5">
      <c r="A123" s="3"/>
      <c r="B123" s="3" t="s">
        <v>147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5">
      <c r="A124" s="3"/>
      <c r="B124" s="3" t="s">
        <v>148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5">
      <c r="A125" s="3"/>
      <c r="B125" s="3" t="s">
        <v>149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5">
      <c r="A126" s="3"/>
      <c r="B126" s="3" t="s">
        <v>150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5">
      <c r="A127" s="3"/>
      <c r="B127" s="3" t="s">
        <v>151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5">
      <c r="A128" s="3"/>
      <c r="B128" s="3" t="s">
        <v>152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5">
      <c r="A129" s="3"/>
      <c r="B129" s="3" t="s">
        <v>153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5">
      <c r="A131" s="3"/>
      <c r="B131" s="3" t="s">
        <v>154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5">
      <c r="A132" s="3"/>
      <c r="B132" s="3" t="s">
        <v>155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5">
      <c r="A133" s="3"/>
      <c r="B133" s="3" t="s">
        <v>156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5">
      <c r="A135" s="3"/>
      <c r="B135" s="3" t="s">
        <v>157</v>
      </c>
      <c r="C135" s="3" t="s">
        <v>158</v>
      </c>
      <c r="D135" s="3" t="s">
        <v>159</v>
      </c>
      <c r="E135" s="10" t="s">
        <v>97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5">
      <c r="A136" s="3"/>
      <c r="B136" s="6" t="s">
        <v>108</v>
      </c>
      <c r="C136" s="8">
        <v>92</v>
      </c>
      <c r="D136" s="9" t="str">
        <f>TEXT(C136,"[&gt;85]良好;[&gt;75]合格;不合格")</f>
        <v>良好</v>
      </c>
      <c r="E136" s="15" t="str">
        <f ca="1">_xlfn.FORMULATEXT(D136)</f>
        <v>=TEXT(C136,"[&gt;85]良好;[&gt;75]合格;不合格")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5">
      <c r="A137" s="3"/>
      <c r="B137" s="11" t="s">
        <v>109</v>
      </c>
      <c r="C137" s="51">
        <v>65</v>
      </c>
      <c r="D137" s="52" t="str">
        <f t="shared" ref="D137:D141" si="5">TEXT(C137,"[&gt;85]良好;[&gt;75]合格;不合格")</f>
        <v>不合格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5">
      <c r="A138" s="3"/>
      <c r="B138" s="11" t="s">
        <v>111</v>
      </c>
      <c r="C138" s="51">
        <v>84</v>
      </c>
      <c r="D138" s="52" t="str">
        <f t="shared" si="5"/>
        <v>合格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5">
      <c r="A139" s="3"/>
      <c r="B139" s="11" t="s">
        <v>115</v>
      </c>
      <c r="C139" s="51">
        <v>73</v>
      </c>
      <c r="D139" s="52" t="str">
        <f t="shared" si="5"/>
        <v>不合格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5">
      <c r="A140" s="3"/>
      <c r="B140" s="11" t="s">
        <v>160</v>
      </c>
      <c r="C140" s="51">
        <v>59</v>
      </c>
      <c r="D140" s="52" t="str">
        <f t="shared" si="5"/>
        <v>不合格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5">
      <c r="A141" s="3"/>
      <c r="B141" s="17" t="s">
        <v>161</v>
      </c>
      <c r="C141" s="53">
        <v>78</v>
      </c>
      <c r="D141" s="54" t="str">
        <f t="shared" si="5"/>
        <v>合格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5">
      <c r="A143" s="3"/>
      <c r="B143" s="3" t="s">
        <v>162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5">
      <c r="A144" s="3"/>
      <c r="B144" s="3" t="s">
        <v>163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5">
      <c r="A145" s="3"/>
      <c r="B145" s="5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5">
      <c r="A146" s="3"/>
      <c r="B146" s="3" t="s">
        <v>164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5">
      <c r="A147" s="3"/>
      <c r="B147" s="3" t="s">
        <v>165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5">
      <c r="A149" s="3"/>
      <c r="B149" s="1" t="s">
        <v>166</v>
      </c>
      <c r="C149" s="1" t="s">
        <v>167</v>
      </c>
      <c r="D149" s="10" t="s">
        <v>97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5">
      <c r="A150" s="3"/>
      <c r="B150" s="35">
        <v>44959</v>
      </c>
      <c r="C150" s="1" t="str">
        <f>TEXT(B150,"[DBnum1]m月")</f>
        <v>二月</v>
      </c>
      <c r="D150" s="15" t="str">
        <f ca="1">_xlfn.FORMULATEXT(C150)</f>
        <v>=TEXT(B150,"[DBnum1]m月")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5">
      <c r="A151" s="3"/>
      <c r="B151" s="35">
        <v>44748</v>
      </c>
      <c r="C151" s="1" t="str">
        <f t="shared" ref="C151:C155" si="6">TEXT(B151,"[DBnum1]m月")</f>
        <v>七月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5">
      <c r="A152" s="3"/>
      <c r="B152" s="35">
        <v>45879</v>
      </c>
      <c r="C152" s="1" t="str">
        <f t="shared" si="6"/>
        <v>八月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5">
      <c r="A153" s="3"/>
      <c r="B153" s="35">
        <v>43952</v>
      </c>
      <c r="C153" s="1" t="str">
        <f t="shared" si="6"/>
        <v>五月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5">
      <c r="A154" s="3"/>
      <c r="B154" s="35">
        <v>41934</v>
      </c>
      <c r="C154" s="1" t="str">
        <f t="shared" si="6"/>
        <v>十月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5">
      <c r="A155" s="3"/>
      <c r="B155" s="35">
        <v>33931</v>
      </c>
      <c r="C155" s="1" t="str">
        <f t="shared" si="6"/>
        <v>十一月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5">
      <c r="A156" s="3"/>
      <c r="B156" s="3"/>
      <c r="C156" s="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5">
      <c r="A157" s="3"/>
      <c r="B157" s="3" t="e">
        <f>TEXT(#REF!,"[DBnum1]m月")</f>
        <v>#REF!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5">
      <c r="A158" s="3"/>
      <c r="B158" s="3" t="s">
        <v>168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5">
      <c r="A160" s="3"/>
      <c r="B160" s="3" t="s">
        <v>169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5">
      <c r="A161" s="3"/>
      <c r="B161" s="3" t="s">
        <v>170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5">
      <c r="A163" s="3"/>
      <c r="B163" s="1" t="s">
        <v>171</v>
      </c>
      <c r="C163" s="1" t="s">
        <v>172</v>
      </c>
      <c r="D163" s="10" t="s">
        <v>97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5">
      <c r="A164" s="3"/>
      <c r="B164" s="6" t="s">
        <v>173</v>
      </c>
      <c r="C164" s="38">
        <f t="array" ref="C164">MATCH(B164,TEXT(ROW($1:$9998),"[DBnum1]"),)</f>
        <v>88</v>
      </c>
      <c r="D164" s="15" t="str">
        <f ca="1">_xlfn.FORMULATEXT(C164)</f>
        <v>{=MATCH(B164,TEXT(ROW($1:$9998),"[DBnum1]"),)}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5">
      <c r="A165" s="3"/>
      <c r="B165" s="30" t="s">
        <v>174</v>
      </c>
      <c r="C165" s="27">
        <f t="array" ref="C165">MATCH(B165,TEXT(ROW($1:$9998),"[DBnum1]"),)</f>
        <v>216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5">
      <c r="A166" s="3"/>
      <c r="B166" s="11" t="s">
        <v>175</v>
      </c>
      <c r="C166" s="27">
        <f t="array" ref="C166">MATCH(B166,TEXT(ROW($1:$9998),"[DBnum1]"),)</f>
        <v>48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5">
      <c r="A167" s="3"/>
      <c r="B167" s="30" t="s">
        <v>176</v>
      </c>
      <c r="C167" s="27">
        <f t="array" ref="C167">MATCH(B167,TEXT(ROW($1:$9998),"[DBnum1]"),)</f>
        <v>3421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5">
      <c r="A168" s="3"/>
      <c r="B168" s="11" t="s">
        <v>177</v>
      </c>
      <c r="C168" s="27">
        <f t="array" ref="C168">MATCH(B168,TEXT(ROW($1:$9998),"[DBnum1]"),)</f>
        <v>123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5">
      <c r="A169" s="3"/>
      <c r="B169" s="11" t="s">
        <v>178</v>
      </c>
      <c r="C169" s="27">
        <f t="array" ref="C169">MATCH(B169,TEXT(ROW($1:$9998),"[DBnum1]"),)</f>
        <v>10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5">
      <c r="A170" s="3"/>
      <c r="B170" s="11" t="s">
        <v>179</v>
      </c>
      <c r="C170" s="27">
        <f t="array" ref="C170">MATCH(B170,TEXT(ROW($1:$9998),"[DBnum1]"),)</f>
        <v>100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5">
      <c r="A171" s="3"/>
      <c r="B171" s="17" t="s">
        <v>180</v>
      </c>
      <c r="C171" s="43">
        <f t="array" ref="C171">MATCH(B171,TEXT(ROW($1:$9998),"[DBnum1]"),)</f>
        <v>1000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5">
      <c r="A173" s="3"/>
      <c r="B173" s="3" t="s">
        <v>181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5">
      <c r="A174" s="3"/>
      <c r="B174" s="3" t="s">
        <v>182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5">
      <c r="A175" s="3"/>
      <c r="B175" s="3" t="s">
        <v>183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5">
      <c r="A176" s="3"/>
      <c r="B176" s="3" t="s">
        <v>184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5">
      <c r="A177" s="3"/>
      <c r="B177" s="3" t="s">
        <v>185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5">
      <c r="A180" s="1" t="s">
        <v>186</v>
      </c>
      <c r="B180" s="2" t="s">
        <v>187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5">
      <c r="A182" s="3"/>
      <c r="B182" s="1" t="s">
        <v>188</v>
      </c>
      <c r="C182" s="3"/>
      <c r="D182" s="56" t="s">
        <v>107</v>
      </c>
      <c r="E182" s="56"/>
      <c r="F182" s="56"/>
      <c r="G182" s="10" t="s">
        <v>97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5">
      <c r="A183" s="3"/>
      <c r="B183" s="3" t="s">
        <v>189</v>
      </c>
      <c r="C183" s="3"/>
      <c r="D183" s="36" t="str">
        <f t="array" ref="D183:F183">TEXT({1,-1,0}%,SUBSTITUTE(B183,"*",";"))</f>
        <v>123</v>
      </c>
      <c r="E183" s="57" t="str">
        <v>345</v>
      </c>
      <c r="F183" s="38" t="str">
        <v>678</v>
      </c>
      <c r="G183" s="15" t="str">
        <f ca="1">_xlfn.FORMULATEXT(F183)</f>
        <v>{=TEXT({1,-1,0}%,SUBSTITUTE(B183,"*",";"))}</v>
      </c>
      <c r="H183" s="3"/>
      <c r="I183" s="3"/>
      <c r="J183" s="3"/>
      <c r="K183" s="3"/>
      <c r="L183" s="3" t="s">
        <v>190</v>
      </c>
      <c r="M183" s="3"/>
      <c r="N183" s="3"/>
      <c r="O183" s="3"/>
      <c r="P183" s="3"/>
      <c r="Q183" s="3"/>
    </row>
    <row r="184" spans="1:17" x14ac:dyDescent="0.25">
      <c r="A184" s="3"/>
      <c r="B184" s="3" t="s">
        <v>189</v>
      </c>
      <c r="C184" s="3"/>
      <c r="D184" s="41">
        <f t="array" ref="D184:F184">--TEXT({1,-1,0}%,SUBSTITUTE(B183,"*",";"))</f>
        <v>123</v>
      </c>
      <c r="E184" s="58">
        <v>345</v>
      </c>
      <c r="F184" s="43">
        <v>678</v>
      </c>
      <c r="G184" s="15" t="str">
        <f ca="1">_xlfn.FORMULATEXT(F184)</f>
        <v>{=--TEXT({1,-1,0}%,SUBSTITUTE(B183,"*",";"))}</v>
      </c>
      <c r="H184" s="3"/>
      <c r="I184" s="3"/>
      <c r="J184" s="3"/>
      <c r="K184" s="3"/>
      <c r="L184" s="3" t="s">
        <v>191</v>
      </c>
      <c r="M184" s="3"/>
      <c r="N184" s="3"/>
      <c r="O184" s="3"/>
      <c r="P184" s="3"/>
      <c r="Q184" s="3"/>
    </row>
    <row r="185" spans="1:1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5">
      <c r="A186" s="3"/>
      <c r="B186" s="3" t="s">
        <v>192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5">
      <c r="A187" s="3"/>
      <c r="B187" s="3" t="s">
        <v>193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</sheetData>
  <mergeCells count="57">
    <mergeCell ref="C76:D76"/>
    <mergeCell ref="E76:F76"/>
    <mergeCell ref="C61:D61"/>
    <mergeCell ref="C62:D62"/>
    <mergeCell ref="C64:D64"/>
    <mergeCell ref="C74:D74"/>
    <mergeCell ref="E74:F74"/>
    <mergeCell ref="C75:D75"/>
    <mergeCell ref="E75:F75"/>
    <mergeCell ref="C49:I49"/>
    <mergeCell ref="C50:I50"/>
    <mergeCell ref="C51:I51"/>
    <mergeCell ref="C52:I52"/>
    <mergeCell ref="C53:I53"/>
    <mergeCell ref="C60:D60"/>
    <mergeCell ref="C41:I41"/>
    <mergeCell ref="C44:I44"/>
    <mergeCell ref="C45:I45"/>
    <mergeCell ref="C46:I46"/>
    <mergeCell ref="C47:I47"/>
    <mergeCell ref="C48:I48"/>
    <mergeCell ref="C35:I35"/>
    <mergeCell ref="C36:I36"/>
    <mergeCell ref="C37:I37"/>
    <mergeCell ref="C38:I38"/>
    <mergeCell ref="C39:I39"/>
    <mergeCell ref="C40:I40"/>
    <mergeCell ref="C29:I29"/>
    <mergeCell ref="C30:I30"/>
    <mergeCell ref="C31:I31"/>
    <mergeCell ref="C32:I32"/>
    <mergeCell ref="C33:I33"/>
    <mergeCell ref="C34:I34"/>
    <mergeCell ref="C23:I23"/>
    <mergeCell ref="C24:I24"/>
    <mergeCell ref="C25:I25"/>
    <mergeCell ref="C26:I26"/>
    <mergeCell ref="C27:I27"/>
    <mergeCell ref="C28:I28"/>
    <mergeCell ref="C15:I15"/>
    <mergeCell ref="C16:I16"/>
    <mergeCell ref="C19:I19"/>
    <mergeCell ref="C20:I20"/>
    <mergeCell ref="C21:I21"/>
    <mergeCell ref="C22:I22"/>
    <mergeCell ref="B10:B12"/>
    <mergeCell ref="C10:I10"/>
    <mergeCell ref="C11:I11"/>
    <mergeCell ref="C12:I12"/>
    <mergeCell ref="C13:I13"/>
    <mergeCell ref="C14:I14"/>
    <mergeCell ref="B3:L3"/>
    <mergeCell ref="C5:I5"/>
    <mergeCell ref="C6:I6"/>
    <mergeCell ref="C7:I7"/>
    <mergeCell ref="C8:I8"/>
    <mergeCell ref="C9:I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智康 左</dc:creator>
  <cp:lastModifiedBy>智康 左</cp:lastModifiedBy>
  <dcterms:created xsi:type="dcterms:W3CDTF">2024-01-29T02:57:48Z</dcterms:created>
  <dcterms:modified xsi:type="dcterms:W3CDTF">2024-01-29T02:58:12Z</dcterms:modified>
</cp:coreProperties>
</file>